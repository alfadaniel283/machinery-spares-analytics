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royalceramicltd-my.sharepoint.com/personal/asset_manager_royal-ceramic_com/Documents/Attachments/"/>
    </mc:Choice>
  </mc:AlternateContent>
  <xr:revisionPtr revIDLastSave="2" documentId="8_{CE662896-5741-402E-AF51-30656F320628}" xr6:coauthVersionLast="47" xr6:coauthVersionMax="47" xr10:uidLastSave="{25E3A50B-3124-471F-8523-5D75855D8E23}"/>
  <bookViews>
    <workbookView xWindow="-110" yWindow="-110" windowWidth="19420" windowHeight="10300" activeTab="3" xr2:uid="{2C31FCAE-E5C2-43E5-84A9-A84DB45B6162}"/>
  </bookViews>
  <sheets>
    <sheet name="Summary" sheetId="1" r:id="rId1"/>
    <sheet name="August" sheetId="4" r:id="rId2"/>
    <sheet name="July" sheetId="3" r:id="rId3"/>
    <sheet name="June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1" i="2" l="1"/>
  <c r="E5" i="1"/>
  <c r="E6" i="1"/>
  <c r="E7" i="1"/>
  <c r="E17" i="1" s="1"/>
  <c r="G5" i="1" s="1"/>
  <c r="E8" i="1"/>
  <c r="E9" i="1"/>
  <c r="E10" i="1"/>
  <c r="E11" i="1"/>
  <c r="E12" i="1"/>
  <c r="E13" i="1"/>
  <c r="E14" i="1"/>
  <c r="E15" i="1"/>
  <c r="E16" i="1"/>
  <c r="E4" i="1"/>
  <c r="D17" i="1"/>
  <c r="F16" i="1" s="1"/>
  <c r="C223" i="4"/>
  <c r="C79" i="4"/>
  <c r="C352" i="4"/>
  <c r="C454" i="4"/>
  <c r="C575" i="4"/>
  <c r="C774" i="4"/>
  <c r="C925" i="4"/>
  <c r="C979" i="4"/>
  <c r="C1124" i="4"/>
  <c r="C994" i="4"/>
  <c r="C1143" i="4"/>
  <c r="C1155" i="4"/>
  <c r="C1168" i="4"/>
  <c r="I36" i="1"/>
  <c r="C1009" i="3"/>
  <c r="C1003" i="3"/>
  <c r="C994" i="3"/>
  <c r="C956" i="3"/>
  <c r="C944" i="3"/>
  <c r="C760" i="3"/>
  <c r="C578" i="3"/>
  <c r="C432" i="3"/>
  <c r="C367" i="3"/>
  <c r="C224" i="3"/>
  <c r="C112" i="3"/>
  <c r="F36" i="1"/>
  <c r="C871" i="2"/>
  <c r="C864" i="2"/>
  <c r="C851" i="2"/>
  <c r="C837" i="2"/>
  <c r="C735" i="2"/>
  <c r="C688" i="2"/>
  <c r="C590" i="2"/>
  <c r="C518" i="2"/>
  <c r="C388" i="2"/>
  <c r="C321" i="2"/>
  <c r="C192" i="2"/>
  <c r="C130" i="2"/>
  <c r="C36" i="1"/>
  <c r="G16" i="1" l="1"/>
  <c r="G7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F7" i="1"/>
  <c r="G6" i="1"/>
  <c r="G4" i="1"/>
  <c r="F6" i="1"/>
  <c r="F5" i="1"/>
  <c r="F4" i="1"/>
  <c r="G17" i="1" l="1"/>
  <c r="F17" i="1"/>
</calcChain>
</file>

<file path=xl/sharedStrings.xml><?xml version="1.0" encoding="utf-8"?>
<sst xmlns="http://schemas.openxmlformats.org/spreadsheetml/2006/main" count="3055" uniqueCount="1975">
  <si>
    <t>Department</t>
  </si>
  <si>
    <t>Rep &amp; Maint Cost</t>
  </si>
  <si>
    <t>Average Monthly Rep &amp; Maint Cost</t>
  </si>
  <si>
    <t xml:space="preserve">Total Percenatge </t>
  </si>
  <si>
    <t xml:space="preserve">Average Percentage </t>
  </si>
  <si>
    <t>Pulverizers</t>
  </si>
  <si>
    <t>Slip House</t>
  </si>
  <si>
    <t>Sorting</t>
  </si>
  <si>
    <t>Glaze Line</t>
  </si>
  <si>
    <t>Kiln</t>
  </si>
  <si>
    <t>Polishing</t>
  </si>
  <si>
    <t>Electrical Maintenance</t>
  </si>
  <si>
    <t>Press</t>
  </si>
  <si>
    <t>Mechanical Maintenance</t>
  </si>
  <si>
    <t>Gas Generators</t>
  </si>
  <si>
    <t>Sodium Silicate Plant</t>
  </si>
  <si>
    <t>Glaze Preparation</t>
  </si>
  <si>
    <t>Frit Plant</t>
  </si>
  <si>
    <t xml:space="preserve"> Grand Total  </t>
  </si>
  <si>
    <t xml:space="preserve">June </t>
  </si>
  <si>
    <t>July</t>
  </si>
  <si>
    <t xml:space="preserve">August </t>
  </si>
  <si>
    <t>Departments</t>
  </si>
  <si>
    <t>Grand Total</t>
  </si>
  <si>
    <t xml:space="preserve">Departments </t>
  </si>
  <si>
    <t xml:space="preserve">Items </t>
  </si>
  <si>
    <t xml:space="preserve">Rep &amp; Maint Cost </t>
  </si>
  <si>
    <t>Wooden Pallet 1100 x 1100 MM</t>
  </si>
  <si>
    <t>Strapping Roll-(Big Cone-2000 Mts)</t>
  </si>
  <si>
    <t>Belt 9 Stacker DMA+0002562</t>
  </si>
  <si>
    <t>Cello Tape 2" (48x90mm)</t>
  </si>
  <si>
    <t>GR.LEVA (L.H.LINKAGE)DMA0008443,TAV-2.2,RIF-15</t>
  </si>
  <si>
    <t>GR.LEVA (R.H.LINKAGE) DMA+0008444,TAV-2.2,RIF-16</t>
  </si>
  <si>
    <t>Top Jet Black Printing Ink -TJ901/5 ( 05-Liters )</t>
  </si>
  <si>
    <t>MANUAL STRAPPING CLIP</t>
  </si>
  <si>
    <t>BELT (10STACKER) DMA+0007952,TAV-2,RIF-9</t>
  </si>
  <si>
    <t>HENKEL GLUE A7814</t>
  </si>
  <si>
    <t>BLACK TONER 17A FOR M130</t>
  </si>
  <si>
    <t>PU WELDABLE BELT REINFORCED VLW 22/C SG (Super Grip)</t>
  </si>
  <si>
    <t>MANUAL STRAPPING TOOL</t>
  </si>
  <si>
    <t>Combination Hand gloves - GER068/69</t>
  </si>
  <si>
    <t>REDUCTION GEAR - CMA+0002999 ,TAV-4,RIF-11</t>
  </si>
  <si>
    <t>Guide SAEY00096054</t>
  </si>
  <si>
    <t>Coupling-SAVASS1518335,TAV-2,RIF-17</t>
  </si>
  <si>
    <t>Cylinder SA5769463/ DSN-25-30P,TAV-2.2.1.RIF-2</t>
  </si>
  <si>
    <t>Stacker Header SASG000228957,TAV-4.1,RIF2</t>
  </si>
  <si>
    <t>Solvent Cleaning TJ600-1</t>
  </si>
  <si>
    <t>Gripper Pad SADIVI0230329</t>
  </si>
  <si>
    <t>Wheel DMA+0000391,TAV-5,RIF-22</t>
  </si>
  <si>
    <t>Wheel Roller CMA+0000394,TAV-10,RIF-2</t>
  </si>
  <si>
    <t>Wheel Roller CMA+0000395,TAV-2,RIF-37</t>
  </si>
  <si>
    <t>Suction Cup SA 5565313,TAV-3,RIF-3</t>
  </si>
  <si>
    <t>Motor CMA+0000669,TAV-10,RIF-7</t>
  </si>
  <si>
    <t>Cable guide chain, DMA+0001843, TAV-2,POS-44</t>
  </si>
  <si>
    <t>PHOTO ELELCTRIC SENSOR(PNP-NO)SS2/LP0E</t>
  </si>
  <si>
    <t>Pulley SASL000218802,TAV-6,RIF-16</t>
  </si>
  <si>
    <t>Belt V B210</t>
  </si>
  <si>
    <t>Cotton Hand Gloves</t>
  </si>
  <si>
    <t>SHAFT- DMA+0011507,TAV-6,RIF-35</t>
  </si>
  <si>
    <t>SHAFT-DMA+0008048,TAV-3,RIF-13</t>
  </si>
  <si>
    <t>Bearing Yar 206 - 2F/ UC 206 Insert Bearing</t>
  </si>
  <si>
    <t>Shunting Unit-DMA+0007308,TAV-2.1.1,RIF-3</t>
  </si>
  <si>
    <t>Drive Pulley SAEY 07024015</t>
  </si>
  <si>
    <t>Spring Steel Guide Strip 40x3mm,LEN-3MTR</t>
  </si>
  <si>
    <t>TERMINAL-SASL000218793</t>
  </si>
  <si>
    <t>Polyzene Profile Sec.C with Aluminium Profile Lenth 6000mm, 8PRP0052</t>
  </si>
  <si>
    <t>Paper Rim A4</t>
  </si>
  <si>
    <t xml:space="preserve">White Nose Mask </t>
  </si>
  <si>
    <t>Belt V B128</t>
  </si>
  <si>
    <t>Pulley SASC 000217433,TAV-4.1,RIF-4</t>
  </si>
  <si>
    <t>Cotton Waste</t>
  </si>
  <si>
    <t>Through Beam Photocell with 2 Brackets</t>
  </si>
  <si>
    <t>Penetrating Oil</t>
  </si>
  <si>
    <t>Bearing 6000 - 2RS Ball Bearing</t>
  </si>
  <si>
    <t>Bearing 6205-ZZENC200 (High Temp.)</t>
  </si>
  <si>
    <t>Galvanized Profile Belt guide Sec-C-8PRS001z/ 8PRS003</t>
  </si>
  <si>
    <t>PERMANENT MARKER</t>
  </si>
  <si>
    <t>Pneumatic Push in Connector 6mm</t>
  </si>
  <si>
    <t>TENSILE SPRING (TENSION SPRING) OD-12MM,LEN-30MM,WIRE DIA-1.5MM</t>
  </si>
  <si>
    <t>Bearing 6202 - 2RS Ball Bearing</t>
  </si>
  <si>
    <t xml:space="preserve">Galvanized Profile Belt guide Sec.B-8PRS002z/ </t>
  </si>
  <si>
    <t>COCONUT BROOMS</t>
  </si>
  <si>
    <t>Pneumatic Push In Connector Straight M5 x 6mm</t>
  </si>
  <si>
    <t>Bearing 6201 - 2RS Ball Bearing</t>
  </si>
  <si>
    <t>BAYGON SPRAY/MUSQUITO - CUPBOARD</t>
  </si>
  <si>
    <t>Super Glue (ABRO)</t>
  </si>
  <si>
    <t>CORRECTION PEN</t>
  </si>
  <si>
    <t>Fixing Pin for C-Section- L-61mmxM8  8PF2011151</t>
  </si>
  <si>
    <t>Stamp Pad Ink</t>
  </si>
  <si>
    <t>Push in Connector 1/4x6mm</t>
  </si>
  <si>
    <t>Stores Issue Book - 01</t>
  </si>
  <si>
    <t>STICKY NOTE PAD</t>
  </si>
  <si>
    <t>TIP D.6 6 MM-I30004-D.6</t>
  </si>
  <si>
    <t>Air Fitting/Air Valve GSQ-5087871,TAV-9,RIF-1</t>
  </si>
  <si>
    <t>Internal Circlip-42mm</t>
  </si>
  <si>
    <t>OMO DETERGENT POWDER 250GMS</t>
  </si>
  <si>
    <t>PEN (WRITING BALL PEN BLUE/BLACK/RED)</t>
  </si>
  <si>
    <t>CUTTER BLADE FOR KNIFE</t>
  </si>
  <si>
    <t>BOLT HEX GI M8x20</t>
  </si>
  <si>
    <t xml:space="preserve">SCREW GRUB M10x15 </t>
  </si>
  <si>
    <t>BOLT ALLEN MS M5x40</t>
  </si>
  <si>
    <t>Bolt Allen GI M8x20</t>
  </si>
  <si>
    <t>Circlip for Hole 62-100007893</t>
  </si>
  <si>
    <t>Pebbles 45mm (1-3/4")</t>
  </si>
  <si>
    <t>Pebbles 50mm (2")</t>
  </si>
  <si>
    <t>Pebbles 40mm (1-1/2")</t>
  </si>
  <si>
    <t>Pebbles 30mm (1-1/4")</t>
  </si>
  <si>
    <t>Heads Complete Assy, (Rubber Lining) 06770825,TAV-8100</t>
  </si>
  <si>
    <t>Pebbles-60mm  (2-1/2")</t>
  </si>
  <si>
    <t>Belt V Banded 4H8V 4500</t>
  </si>
  <si>
    <t>Bearing 24064 EW33MH Spherical Roller Bearing 01093031,TAV-0063.001,POS-8</t>
  </si>
  <si>
    <t>100TON SINGLE ACTING HYDRAULIC JACK WITH MANUAL HYDRAULIC HAND PUMP (TRAVEL-150MM CLOSED,HEIGHT-300MM</t>
  </si>
  <si>
    <t>Flat Belt for Conveyor 3Ply, Width 500mmX10mm(thick) grade-M-24</t>
  </si>
  <si>
    <t>Pressure Reducer PRV205  A209102433  (Safety Valve)</t>
  </si>
  <si>
    <t>Diaphragm B286-098-365</t>
  </si>
  <si>
    <t>Hatch Lock MTD 34001914,CAT-010AM017A,TAB-0601,FIG-01</t>
  </si>
  <si>
    <t>Plastic Elevator Bucket-C01900108</t>
  </si>
  <si>
    <t>Grease EP3</t>
  </si>
  <si>
    <t>Cap  MTD45001007,TAV-0063.001,POS-24</t>
  </si>
  <si>
    <t xml:space="preserve">WORM SCREW - 06500505 </t>
  </si>
  <si>
    <t>Chain Simplex 1"</t>
  </si>
  <si>
    <t>M.S. Sheet 2440 x 1220 x 3mm</t>
  </si>
  <si>
    <t>SS Sheet 2440 x 1220 x 3mm, Grade: 304</t>
  </si>
  <si>
    <t>SS.Wire Mesh #80 - 1.5 Mts</t>
  </si>
  <si>
    <t>Plug MTD34001015,CAT-010AM026A,TAB-0604,FIG-16</t>
  </si>
  <si>
    <t>Roller D50/12 White Galvanized-L575 T555 A575,306060.ZB.M8</t>
  </si>
  <si>
    <t>CONVEYOR ROLLERS 76X590MM</t>
  </si>
  <si>
    <t>SUCTION BASKET,MTD34001166,CAT-010AM026A,TAB-0599.L,FIG-6</t>
  </si>
  <si>
    <t>Electrode 2.5/2.6mm S.S.</t>
  </si>
  <si>
    <t>Coppia D60/15 A Sbalzo White Galvanized N600T600-</t>
  </si>
  <si>
    <t>M.S. 'C' CHANNEL 150 X 75X3MM (6MTR)</t>
  </si>
  <si>
    <t>Ball Valve 3" S.S Thread Ends</t>
  </si>
  <si>
    <t>Terminal/ Clamp-05182116,CAT-010AM017A,TAB-0599.CO1,FIG-13</t>
  </si>
  <si>
    <t>NUT-PPB13001050</t>
  </si>
  <si>
    <t>Pump  05603187/TAV-1013.002/POS-15</t>
  </si>
  <si>
    <t>Bearing YAR - 209 - 2F/ UC - 209 Insert Ball Bearing</t>
  </si>
  <si>
    <t>Body 06500508</t>
  </si>
  <si>
    <t>PLATE-PPB31303030/TAV-1499.H/POS-1</t>
  </si>
  <si>
    <t>Conveyor Roller  - Dia 88x235mm</t>
  </si>
  <si>
    <t xml:space="preserve">SOLENOID VALVE - CC26100006 </t>
  </si>
  <si>
    <t>Sprocket Duplex  3/4" x 36 Teeth</t>
  </si>
  <si>
    <t>Cover PPB3001007/TAV-0498.A/POS-6</t>
  </si>
  <si>
    <t>Conveyor Roller D60/15 x 800mm</t>
  </si>
  <si>
    <t>MS Angle 75 X75X6mm (6MTRS)</t>
  </si>
  <si>
    <t>Shim MTD34001022,CAT-010AM026A,TAB-0604,FIG-4</t>
  </si>
  <si>
    <t>Contactor Kit 3RT1956-6A</t>
  </si>
  <si>
    <t>copper winding wire 20.5 SWG</t>
  </si>
  <si>
    <t>SPACER - MTD34001051,CAT-010AM026A,TAB-0599.L,FIG-4</t>
  </si>
  <si>
    <t>Sprocket Simplex  3/4" x 36 Teeth</t>
  </si>
  <si>
    <t>CONVEYOR ROLLERS 76X270MM</t>
  </si>
  <si>
    <t>M.S. 'C' Channel 100 x 50mm (6mtr)</t>
  </si>
  <si>
    <t>Housing-PPB31301004/TAV-0497.A/POS-1</t>
  </si>
  <si>
    <t>Chain Duplex  3/4"</t>
  </si>
  <si>
    <t>Electrode 3.2mm S.S.</t>
  </si>
  <si>
    <t>Sprocket Simplex  1" x 18 Teeth</t>
  </si>
  <si>
    <t>Sprocket Duplex  3/4" X 27 Teeth</t>
  </si>
  <si>
    <t>Valve Butterfly  3"</t>
  </si>
  <si>
    <t>Sprocket Simplex  3/4" x 17 Teeth</t>
  </si>
  <si>
    <t>Sprocket Duplex  3/4" x 17 Teeth</t>
  </si>
  <si>
    <t>VALVE,5168039,CATLOGE 001AC039A, TABLE 9002.E02, FIG 12, ATM 52</t>
  </si>
  <si>
    <t>MPCB 9-14A, GV2ME16</t>
  </si>
  <si>
    <t>Low Pressure Switch DG50U-3</t>
  </si>
  <si>
    <t>Nozzle 3 mm Dia ATM3504020R</t>
  </si>
  <si>
    <t>Special Cement Gum - SC2000 with Hardner</t>
  </si>
  <si>
    <t>CONTACTOR  COIL 110V AC 3RT1034-3AG20</t>
  </si>
  <si>
    <t>Rubber Strip for Pneumatic Diverter</t>
  </si>
  <si>
    <t>FILTER ELEMENT/Cartridge  05673300/TAV-199.B/POS-4</t>
  </si>
  <si>
    <t>Ducting Flexible Hose Pipe-3"</t>
  </si>
  <si>
    <t>ELEMENT -05552892 (05552999)</t>
  </si>
  <si>
    <t>Hose Nipple 3" G.I.</t>
  </si>
  <si>
    <t>Sprocket Duplex  3/4" x 22 Teeth</t>
  </si>
  <si>
    <t>Ball Valve  3/4"  S.S.</t>
  </si>
  <si>
    <t>VALVE - 05552160 (05552162)</t>
  </si>
  <si>
    <t>M.S.Angle 60 x 60 x 5mm</t>
  </si>
  <si>
    <t>Support UCF208-P/B Bearing</t>
  </si>
  <si>
    <t xml:space="preserve">SOLENOID VALVE - 5580447 </t>
  </si>
  <si>
    <t>Box File (Arc Hfile)</t>
  </si>
  <si>
    <t xml:space="preserve">Welding Holder/ Welding Thong </t>
  </si>
  <si>
    <t>Hose Nipple 1/2" G.I.</t>
  </si>
  <si>
    <t>Disk-PPB31301002/TAV-0498.A/POS-13</t>
  </si>
  <si>
    <t>Bearing 6006 - 2RS Ball Bearing</t>
  </si>
  <si>
    <t>Pin-PPB01055/TAV-0498.A/POS-4</t>
  </si>
  <si>
    <t>Valve Butterfly 2"</t>
  </si>
  <si>
    <t>Washer -PPB01057/TAV-0498.A/POS14</t>
  </si>
  <si>
    <t xml:space="preserve">BOLT HEX GI M16x50 </t>
  </si>
  <si>
    <t>GASKET - MTD45001011,0063.001,POS-4</t>
  </si>
  <si>
    <t xml:space="preserve">SPRING - PPB01051 </t>
  </si>
  <si>
    <t xml:space="preserve">BOLT HEX GI M12x30 </t>
  </si>
  <si>
    <t>BOLT HEX  HT- M16x80</t>
  </si>
  <si>
    <t>Note Book Long(100P)</t>
  </si>
  <si>
    <t>BOLT HEX GI M16X150</t>
  </si>
  <si>
    <t>Note Book Short (100P)</t>
  </si>
  <si>
    <t>BOLT HEX GI M12x100</t>
  </si>
  <si>
    <t>BOLT HEX GI M16x60</t>
  </si>
  <si>
    <t>Chain Simplex Full Link 3/4"</t>
  </si>
  <si>
    <t>NUT HT M16 302307</t>
  </si>
  <si>
    <t>Hose Nipple 3/4" G.I.</t>
  </si>
  <si>
    <t>Hose Clip 3"</t>
  </si>
  <si>
    <t>BOLT HEX GI M10x30</t>
  </si>
  <si>
    <t>SPRING WASHER SS M10</t>
  </si>
  <si>
    <t>Spray Drier Production report book</t>
  </si>
  <si>
    <t>Gasket-PPB01077</t>
  </si>
  <si>
    <t>SLIP HOUSE DAILY PRODUCTION REPORT(1+1)</t>
  </si>
  <si>
    <t>Bush Reducer 1/4" x 3/8" Brass</t>
  </si>
  <si>
    <t>COTTON WASTE CLOTH TYPE</t>
  </si>
  <si>
    <t>Pad Locks - 6 Lever</t>
  </si>
  <si>
    <t>Hilti Bolt M10X125/M10X120</t>
  </si>
  <si>
    <t>Reducer 1/2" x 1/4" BRASS</t>
  </si>
  <si>
    <t>WASHER HT M16</t>
  </si>
  <si>
    <t xml:space="preserve">SCREW - 06025140 </t>
  </si>
  <si>
    <t>Push in Connector 1/4x8" (S)</t>
  </si>
  <si>
    <t>Pneumatic Push in Connector Fitting L-Type-1/4x12mm</t>
  </si>
  <si>
    <t xml:space="preserve">BOLT HEX GI M10x60 </t>
  </si>
  <si>
    <t>HT Hex Bolt M24x80</t>
  </si>
  <si>
    <t xml:space="preserve">BOLT HEX GI M8x30 </t>
  </si>
  <si>
    <t>Union 1/2" G,I,</t>
  </si>
  <si>
    <t>BOLT HEX  HT M12x40</t>
  </si>
  <si>
    <t>BOLT HEX HT M12X50</t>
  </si>
  <si>
    <t>Grinding Disc 4"</t>
  </si>
  <si>
    <t>Socket 1" G.I.</t>
  </si>
  <si>
    <t>BOLT HEX MS M20x60</t>
  </si>
  <si>
    <t>WASHER MS M24</t>
  </si>
  <si>
    <t>BOLT HEX GI M8x60</t>
  </si>
  <si>
    <t>Welding Glass  Black</t>
  </si>
  <si>
    <t>BOLT GI M16x100</t>
  </si>
  <si>
    <t>Cutting Disc 4"/ Cutting Disc 41/2"</t>
  </si>
  <si>
    <t>NUT HT M24</t>
  </si>
  <si>
    <t>HT Allen Bolt M6X40</t>
  </si>
  <si>
    <t>WASHER GI M6</t>
  </si>
  <si>
    <t>SPRING WASHER MS M24</t>
  </si>
  <si>
    <t>Kiln Energy Saving Kit</t>
  </si>
  <si>
    <t>Roller (PM 177-0033)</t>
  </si>
  <si>
    <t>CERAMIC ROLLER-S98-54X40X4100mm (7MM) HIGH TEMPARATURE ROLLER</t>
  </si>
  <si>
    <t>Spring (Roller Clip) RK-200-13-1027</t>
  </si>
  <si>
    <t xml:space="preserve">ROLLER - PM177-0099 </t>
  </si>
  <si>
    <t>Thermocouple S-Type(CCT+0004537)</t>
  </si>
  <si>
    <t>Bearing -SR-000-13-0006</t>
  </si>
  <si>
    <t>SERVO MOTOR (ACTUATOR CC26280003)</t>
  </si>
  <si>
    <t>Rubber Sheet-2140x1440x12mm</t>
  </si>
  <si>
    <t>Ceramic Roller,S98 Grade 52x40x3950mm Thickness 6mm (HIGH TEMPARATURE ROLLER</t>
  </si>
  <si>
    <t>SERVO REGULATOR-CC25120066</t>
  </si>
  <si>
    <t>Pin PM141-0194, TAV-5, POS-18</t>
  </si>
  <si>
    <t>Support-RK-240-13-7131</t>
  </si>
  <si>
    <t>BELT FOR KILN-PM365-0275</t>
  </si>
  <si>
    <t>ATF 220 (Fluid Automatic Transmission)</t>
  </si>
  <si>
    <t>Guide PM105-0265, TAV-1,POS-11</t>
  </si>
  <si>
    <t>Pin PM141-0142, TAV-5, POS-17</t>
  </si>
  <si>
    <t xml:space="preserve">SUPPORT - RK-200-13-7199 </t>
  </si>
  <si>
    <t>Belt - PM365-0056</t>
  </si>
  <si>
    <t>Fork PM085-0007,TAV-1.1, POS-10</t>
  </si>
  <si>
    <t>Ma Regulator CC25120075</t>
  </si>
  <si>
    <t>Pulley PM157-0001,TAV-1.1, POS-15</t>
  </si>
  <si>
    <t>Power Unit CC08110026</t>
  </si>
  <si>
    <t>Potentiometer</t>
  </si>
  <si>
    <t>Pinion PM153-0063, TAV-5, POS-24</t>
  </si>
  <si>
    <t>Pinion PM153-0035, TAV-5, POS-23</t>
  </si>
  <si>
    <t>Belt V C330</t>
  </si>
  <si>
    <t>GUIDE-PM105-0197,TAV-2.1,POS-15</t>
  </si>
  <si>
    <t>Pinion PM153-0005, TAV-5, POS-22</t>
  </si>
  <si>
    <t>Ceramic Fiber/ Ceramic Wool GRADE:S(1260 DEGREE CEL,MAKE:UNIFRAX</t>
  </si>
  <si>
    <t>Guide PM105-0074,TAV-2.1, POS-25/ Polyzene profile,Drg.No:-WAC-RHK-002 (</t>
  </si>
  <si>
    <t>Pin PM141-0016, TAV-5, POS-16</t>
  </si>
  <si>
    <t>Belt V XPB3000/ SPBX3000/ SPB3000</t>
  </si>
  <si>
    <t>Plate PM145-0433</t>
  </si>
  <si>
    <t>GUIDE PULLEY (JUMPER) PM093-0001,TAV-1.1, POS-9</t>
  </si>
  <si>
    <t>Shaft (PM 001-0009)</t>
  </si>
  <si>
    <t>Shaft (PM001-0005),TAV-1,POS-1</t>
  </si>
  <si>
    <t>Pulley PM157-0034,TAV-3, POS-12</t>
  </si>
  <si>
    <t>Cylinder PM309-0047,TAV-8, POS-7</t>
  </si>
  <si>
    <t>Belt Timing-1855 H100</t>
  </si>
  <si>
    <t>Pulley (PM 157-0003)</t>
  </si>
  <si>
    <t>Gear reducer PM489-0029,TAV-2.3, POS-70</t>
  </si>
  <si>
    <t>Pinion PM153-0004, TAV-5, POS-21</t>
  </si>
  <si>
    <t>Auto Transformer Trifas-410+/-5%-PE153-0038</t>
  </si>
  <si>
    <t>Belt Timing - 1855 H150 - S36</t>
  </si>
  <si>
    <t>Pulley PM157-0008</t>
  </si>
  <si>
    <t>Shaft (PM 001-0024)</t>
  </si>
  <si>
    <t>Shaft PM001-0004,TAV-1.1, POS-1</t>
  </si>
  <si>
    <t>Belt V SPB2500</t>
  </si>
  <si>
    <t>Timing Belt 1400 H 150</t>
  </si>
  <si>
    <t>Belt V B 330</t>
  </si>
  <si>
    <t>Guide, PM105-0042,TAV-1.1,POS-12</t>
  </si>
  <si>
    <t>Belt V   C194</t>
  </si>
  <si>
    <t xml:space="preserve">Belt V SPB3150 </t>
  </si>
  <si>
    <t>Hard Brush (Round Insert) - CODE-3SZ010001,FIG-3,TAB-28.2 RUP/R</t>
  </si>
  <si>
    <t>Bearing 6002 - 2RS Ball Bearing</t>
  </si>
  <si>
    <t>Belt V C210</t>
  </si>
  <si>
    <t>Extruded PM073-1469, TAV-2.1,POS-9</t>
  </si>
  <si>
    <t>BUSH,65.03.208,FIG-14,TAB-03</t>
  </si>
  <si>
    <t>Belt V SPB - 4050</t>
  </si>
  <si>
    <t>Pulley PM157-0060</t>
  </si>
  <si>
    <t>Bearing NU 313 ECP Cylindrical Roller Bearing</t>
  </si>
  <si>
    <t>SIKA MULTI SEAL AP BITUMINOUS SEALING TAPE 10000MM X 100MM</t>
  </si>
  <si>
    <t>External Circlip 12mm</t>
  </si>
  <si>
    <t>Timing Belt 1250H150</t>
  </si>
  <si>
    <t>Complete Brush-3SZ010001</t>
  </si>
  <si>
    <t>Bearing NU 309 ECP Cylindrical Roller Bearing</t>
  </si>
  <si>
    <t>Belt V C195</t>
  </si>
  <si>
    <t>Guide PM105-0096,TAV-2.1, POS-26</t>
  </si>
  <si>
    <t>Bearing 6308 - 2Z Ball Bearing</t>
  </si>
  <si>
    <t>Key Bars-8x8mm, 1Ft Length</t>
  </si>
  <si>
    <t>Belt PM361-0013,TAV-2.1, POS-66</t>
  </si>
  <si>
    <t xml:space="preserve">Flat Key Bar -10x10mm </t>
  </si>
  <si>
    <t>Cable Tie 300x4.8mm</t>
  </si>
  <si>
    <t>Key Bars-5x5mm, 1Ft Length</t>
  </si>
  <si>
    <t>KEY BAR 4X4X300MM</t>
  </si>
  <si>
    <t>Key Bars-6x6mm, 1Ft Length</t>
  </si>
  <si>
    <t xml:space="preserve">Key Bar 8X7 MM </t>
  </si>
  <si>
    <t>Belt V B67</t>
  </si>
  <si>
    <t>AIR FRESHNER/ROOM FRESHNER</t>
  </si>
  <si>
    <t>Plug (Pin)-CC06090003</t>
  </si>
  <si>
    <t>Calculator (Medium)</t>
  </si>
  <si>
    <t>SCREW GRUB M4x10</t>
  </si>
  <si>
    <t>Oil Seal 45x65x8</t>
  </si>
  <si>
    <t>Washer-PM557-0014</t>
  </si>
  <si>
    <t>Snap ring CC06100001</t>
  </si>
  <si>
    <t>Oil Seal 30x47x7</t>
  </si>
  <si>
    <t>BOLT ALLEN SS M6x10</t>
  </si>
  <si>
    <t>ALLEN BOLT GI M6x10</t>
  </si>
  <si>
    <t>Safety Goggles White</t>
  </si>
  <si>
    <t>BOLT ALLEN HT M6x10</t>
  </si>
  <si>
    <t>ALLEN BOLT  GI M5x10</t>
  </si>
  <si>
    <t>Adjustable Knife</t>
  </si>
  <si>
    <t>Chain Simplex Full Link 5/8"</t>
  </si>
  <si>
    <t xml:space="preserve">Oil Seal  17 x 30 x 8 </t>
  </si>
  <si>
    <t>SPRING WASHER MS M8</t>
  </si>
  <si>
    <t xml:space="preserve">BOLT HEX GI M8x80 </t>
  </si>
  <si>
    <t>BOLT HEX GI M6x50</t>
  </si>
  <si>
    <t>CSK BOLT HT M8X30</t>
  </si>
  <si>
    <t xml:space="preserve">Oil Seal 15 x 35 x 7 </t>
  </si>
  <si>
    <t xml:space="preserve">BOLT HEX GI M12X40 </t>
  </si>
  <si>
    <t>Round Nut -M24x1.5 - 100007350</t>
  </si>
  <si>
    <t>"O"Ring for Grease pump AH4/50Kg,MAKE:ATS-ELGI</t>
  </si>
  <si>
    <t>Crushed Frit ENG21431</t>
  </si>
  <si>
    <t>CERAMIC MEDIUM - EVD01045LM(TORRECID)</t>
  </si>
  <si>
    <t>Scanning Head-XP10100157 ,XAAR1003-GS12C</t>
  </si>
  <si>
    <t>Brown Ink EXN50432DJ</t>
  </si>
  <si>
    <t>Crushed Frit ENG21430</t>
  </si>
  <si>
    <t>Card-XUSB XAAR-1018101002-Digital P.M</t>
  </si>
  <si>
    <t>VERTICAL ELECTRONIC PCARD FOR 2 PRINTHEADS,8QA800614, SMC08527996</t>
  </si>
  <si>
    <t>Beige Ink TEB16611</t>
  </si>
  <si>
    <t>Yellow Ink EXN30755DJ</t>
  </si>
  <si>
    <t>Card-A800063 (D.Printing Mach) (8QA800063)</t>
  </si>
  <si>
    <t>Belt Round PU RPN 18</t>
  </si>
  <si>
    <t>Pink Ink - TEP13301</t>
  </si>
  <si>
    <t>Reversal Solenoid Valve A600321,TAV-F,POS-1</t>
  </si>
  <si>
    <t>Gear Box without Motor, Type SM35 M1 IEC80 (R:1-35) 20720117811 0.75KW</t>
  </si>
  <si>
    <t>Motor A110016</t>
  </si>
  <si>
    <t>PU WELDABLE BELT,REINFORCED VLW 17/B</t>
  </si>
  <si>
    <t>PVC Cover-8COP10214</t>
  </si>
  <si>
    <t>INVERTER 0.7KW VZA40P7BAA-23425(YASKAWA)</t>
  </si>
  <si>
    <t>Reduction Gear A110008,TAV-A,POS-2</t>
  </si>
  <si>
    <t>Belt V C230</t>
  </si>
  <si>
    <t>Shaft Pump 8QRICGEN/8Q4068190000</t>
  </si>
  <si>
    <t>Belt V C288</t>
  </si>
  <si>
    <t>Green Pvc Guide 40x10 1000MM</t>
  </si>
  <si>
    <t>Motor Support 8SU05202</t>
  </si>
  <si>
    <t>Support for Motor 8QRICGEN/8Q4068100001</t>
  </si>
  <si>
    <t>Belt Conical CR300 Trapezoidal Section</t>
  </si>
  <si>
    <t>Cleaner TH3001</t>
  </si>
  <si>
    <t>Photocell-A800101 (D.Printing Mach)</t>
  </si>
  <si>
    <t>Support-8SU80004,TAV 365.1,POS-4</t>
  </si>
  <si>
    <t>Belt V C300</t>
  </si>
  <si>
    <t>POLYESTER 100% WIPES-PH10129-23X23CM/9"X9"(nominal)-Cleaning cloth</t>
  </si>
  <si>
    <t>Conical Impeller-8GN05302</t>
  </si>
  <si>
    <t>V-BELT C240</t>
  </si>
  <si>
    <t>Support-8SU10203</t>
  </si>
  <si>
    <t>Shaft 8AL05208</t>
  </si>
  <si>
    <t>Klueber Plex (Grease) 63-5684/ E25812/45-0281 -ASONIC GHY72</t>
  </si>
  <si>
    <t>UNION-8RCA800101,TAV 365.1,POS-10</t>
  </si>
  <si>
    <t>Belt V C170</t>
  </si>
  <si>
    <t>Ball Valve 1/2" Screw Ends S.S</t>
  </si>
  <si>
    <t>Bearing 6206 - 2RS Ball Bearing</t>
  </si>
  <si>
    <t>Bearing 6005 - 2RS Ball Bearing</t>
  </si>
  <si>
    <t>Ball Valve 1" Screwed Ends S.S</t>
  </si>
  <si>
    <t>Ball Valve 11/4" S.S.</t>
  </si>
  <si>
    <t xml:space="preserve">copper winding wire 28 SWG  </t>
  </si>
  <si>
    <t>Joint-8GI00007</t>
  </si>
  <si>
    <t>Gum Ø40, TAV-1,PIPE 7Mtr 8QA600417 ,Model:MAST-K3 900</t>
  </si>
  <si>
    <t>Belt V C280</t>
  </si>
  <si>
    <t>DISC PACK (GLAZE DISC)-8PAF0001</t>
  </si>
  <si>
    <t>Screw Propeller 8EC00823</t>
  </si>
  <si>
    <t>Belt Conical CR222 Trapezoidal Section</t>
  </si>
  <si>
    <t>YELLOW PIPE Ø 8,8QA600361</t>
  </si>
  <si>
    <t>COVER WITH SEAL-8COP80015 ,TAV 365.1,POS-15</t>
  </si>
  <si>
    <t>Impeller-080000100/B (8GN80013),TAV 365.1,POS-14</t>
  </si>
  <si>
    <t>Yellow pipe, A600361, TAV-C, POS-14</t>
  </si>
  <si>
    <t>Hose Clip 11/4"</t>
  </si>
  <si>
    <t>Push in Connector-Striaght-QS-1/8"x4mm</t>
  </si>
  <si>
    <t>Hose Clamp 1"G.I. Heavy duty</t>
  </si>
  <si>
    <t>Finger Guard for Pulley Dia 250mm Sec-B 8SA201224</t>
  </si>
  <si>
    <t>Bearing 6204 - 2RS Ball Bearing</t>
  </si>
  <si>
    <t>Hose Clip 3/4"</t>
  </si>
  <si>
    <t xml:space="preserve">IMPELLER - 8GN05209 </t>
  </si>
  <si>
    <t>Pneumatic Push in Connector - 1/4 x 10mm/153007</t>
  </si>
  <si>
    <t>Silicon Sealant Tube - Abro</t>
  </si>
  <si>
    <t>Socket 13Amp-3pin</t>
  </si>
  <si>
    <t>Bolt Allen HT M10X30</t>
  </si>
  <si>
    <t>Glaze Line Record Book</t>
  </si>
  <si>
    <t>TEFLON TAPE 1"</t>
  </si>
  <si>
    <t xml:space="preserve">Rotex Make Spider (GR-24) </t>
  </si>
  <si>
    <t>Reducer 3/4" x 1/2" G.I.</t>
  </si>
  <si>
    <t>Hose Clamp 2" (H/D)</t>
  </si>
  <si>
    <t>Pneumatic Push in Connector L thread type 1/2"X8MM</t>
  </si>
  <si>
    <t xml:space="preserve">BOLT HEX GI M6X100 </t>
  </si>
  <si>
    <t>BOLT HEX  HT M6x20</t>
  </si>
  <si>
    <t>Insulation Tape PVC - Black colour</t>
  </si>
  <si>
    <t>M Seal-100grams</t>
  </si>
  <si>
    <t>Painting Brush 2"</t>
  </si>
  <si>
    <t>45 Hole Spring-25 (Internal Circlip-45mm)</t>
  </si>
  <si>
    <t>Ring TGM130</t>
  </si>
  <si>
    <t>Roller TGM130</t>
  </si>
  <si>
    <t>Holding Plate for Main Mill Roller Assembly TGM130</t>
  </si>
  <si>
    <t>Roller GSD 56</t>
  </si>
  <si>
    <t>Roller assembly, Diagram:3,NO:2, MODEL:GSD56</t>
  </si>
  <si>
    <t>Bearing 32326 Taper Roller Bearing</t>
  </si>
  <si>
    <t>Shovel Seat Big TGM130</t>
  </si>
  <si>
    <t>Grease EP 2</t>
  </si>
  <si>
    <t>Base Plate for Shovel Seat  TGM130</t>
  </si>
  <si>
    <t>Fixed Jaw for Big Jaw Crusher (70665-2/002RS)</t>
  </si>
  <si>
    <t>Bearing Roller 22320E Spherical Roller Bearing</t>
  </si>
  <si>
    <t>Ring GSD 56</t>
  </si>
  <si>
    <t>Shovel TGM130</t>
  </si>
  <si>
    <t>Shovel GSD 56</t>
  </si>
  <si>
    <t>Electro Magnetic Vibrating Feeder   TGM130,MODEL:GZ3F,0.2KW,CAPACITY:25,220VOLTS,MAKE:LIMING</t>
  </si>
  <si>
    <t>Oil seal GSD 56</t>
  </si>
  <si>
    <t>Roller Shaft with Washer and Check Nut  TGM130</t>
  </si>
  <si>
    <t xml:space="preserve">Dust Collector Cloth Bags   YGM95 &amp; TGM130 </t>
  </si>
  <si>
    <t>Roll shaft, K4805.1.2-8 for Main frame, GSD 56</t>
  </si>
  <si>
    <t>Fixed Jaw for Jaw Crusher  TGM130</t>
  </si>
  <si>
    <t>M.S. Sheet 2440 x 1220 x 8MM</t>
  </si>
  <si>
    <t>Bottom cover for Roller assembly,Diagram:4,Model:GSD56</t>
  </si>
  <si>
    <t>Rubber Gasket for Roller  Small Shaft  TGM130 / Rubber Sleeve</t>
  </si>
  <si>
    <t>Belt V SPC 3550</t>
  </si>
  <si>
    <t>Clamp Dia 160/ Hose Clamp 6"</t>
  </si>
  <si>
    <t>Belt V SPC - 3350</t>
  </si>
  <si>
    <t>Bearing 32316 / Q Taper Roller Bearing</t>
  </si>
  <si>
    <t>Cover for Roller Bottom Bearing   TGM130</t>
  </si>
  <si>
    <t>Bolt HT M24x200 FULL THREAD 10.8 GR</t>
  </si>
  <si>
    <t>Toggle Plate for Jaw Crusher TGM130</t>
  </si>
  <si>
    <t>Pedestal of floating oil seal, GSD56</t>
  </si>
  <si>
    <t>Sloted nut, Diagram:4, GSD 56</t>
  </si>
  <si>
    <t>Top cover for Roller assembly,Diagram:4,Model:GSD56</t>
  </si>
  <si>
    <t>BOLT HEX M24x70 HT</t>
  </si>
  <si>
    <t>Electrode 3.2mm Super Base</t>
  </si>
  <si>
    <t>Axle sleeve GSD 56</t>
  </si>
  <si>
    <t>Electrode Carbo Nut 4mm</t>
  </si>
  <si>
    <t>Nut for roller shaft Bottom(R.H.thread) TGM130</t>
  </si>
  <si>
    <t>Cover for Roller Top Bearing   TGM130</t>
  </si>
  <si>
    <t>YD Oil seal GSD 56</t>
  </si>
  <si>
    <t>BOLT HEX HT M24X150</t>
  </si>
  <si>
    <t>Belt V C175</t>
  </si>
  <si>
    <t>Clamp nut D GSD 56</t>
  </si>
  <si>
    <t>Belt V C124</t>
  </si>
  <si>
    <t>Bearing 6312 - 2RS  Ball Bearing</t>
  </si>
  <si>
    <t>Clamp nut C GSD 56</t>
  </si>
  <si>
    <t>Rubber sleeve GSD 56</t>
  </si>
  <si>
    <t>Nut for roller shaft Top(L.H.thread) TGM130</t>
  </si>
  <si>
    <t>BOLT HEX HT M24X100</t>
  </si>
  <si>
    <t>MS WELDING ELECTRODE 4MM (6013)</t>
  </si>
  <si>
    <t>BOLT HEX HT M30X70</t>
  </si>
  <si>
    <t>Electrode 4mm Super Base</t>
  </si>
  <si>
    <t>Clamp nut A GSD 56</t>
  </si>
  <si>
    <t>Toggle Plate for Jaw Crusher YGM95</t>
  </si>
  <si>
    <t>Gland Packing 8 mm</t>
  </si>
  <si>
    <t>Key Bar 8X10X300 MM</t>
  </si>
  <si>
    <t>Cross shaft, K4805.1.2-14 for Main frame, GSD 56</t>
  </si>
  <si>
    <t>BOLT HEX SS M12x40</t>
  </si>
  <si>
    <t xml:space="preserve">Skeleton type rubber oil seal PD90x120x12, HG4-692-67 </t>
  </si>
  <si>
    <t>Stud (Threaded Bar) M30x1000</t>
  </si>
  <si>
    <t>Ducting cloth for Grinding mill,Model:GSD56</t>
  </si>
  <si>
    <t>HT Allen Bolt -M24X70</t>
  </si>
  <si>
    <t>BOLT HEX HT M20X100</t>
  </si>
  <si>
    <t>Pneumatic Air Hose 12mm</t>
  </si>
  <si>
    <t>Cutting Disc 9"</t>
  </si>
  <si>
    <t>Pneumatic Air Hose Pipe 10mm</t>
  </si>
  <si>
    <t>stud HT (threaded Bar)M20x1000MM</t>
  </si>
  <si>
    <t>ALLEN BOLT HT M16x50</t>
  </si>
  <si>
    <t>BOLT HEX GI M20X150mm</t>
  </si>
  <si>
    <t>Bolt Hex MS/HT M16x40</t>
  </si>
  <si>
    <t>BOLT HEX  HT M20x120</t>
  </si>
  <si>
    <t>Pad Locks - 7 Lever</t>
  </si>
  <si>
    <t>SPRING WASHER MS M30</t>
  </si>
  <si>
    <t>Safety Goggles Black</t>
  </si>
  <si>
    <t>WASHER GI M20</t>
  </si>
  <si>
    <t>WASHER MS M20</t>
  </si>
  <si>
    <t>Oil Seal 100 x 130 x 10/ 100 x 130 x 13</t>
  </si>
  <si>
    <t>BOLT HEX MS M12x60</t>
  </si>
  <si>
    <t>SPRING WASHER MS M20</t>
  </si>
  <si>
    <t>Bush Reducer 1/8" x 1/2" Brass</t>
  </si>
  <si>
    <t>Pneumatic Push in Connector M5 x 10mm STR</t>
  </si>
  <si>
    <t>SPRING WASHER MS M16</t>
  </si>
  <si>
    <t>PLAIN WASHER GI M12</t>
  </si>
  <si>
    <t>GLASS FUSE 10A</t>
  </si>
  <si>
    <t>Glaze Polishing Abrasive-L140-400#-(GVT)</t>
  </si>
  <si>
    <t>Glaze Polishing Abrasive-L140-320#- (GVT)</t>
  </si>
  <si>
    <t>S Grade Squaring Wheel (By segmented) 250x140x10x14R-M655</t>
  </si>
  <si>
    <t>S Grade Squaring Wheel(By Segmented) 250x140x10x14 M - M954</t>
  </si>
  <si>
    <t>S Grade Resin Bond Squaring Wheel 200x140x25x12 Fine (HD80)</t>
  </si>
  <si>
    <t>Nano Abrasive Liquid Chemical-A-(GVT)</t>
  </si>
  <si>
    <t>Glaze Polishing Abrasive L-140-280#(GVT)</t>
  </si>
  <si>
    <t>Glaze Polishing Abrasive-L140-600#-(GVT)</t>
  </si>
  <si>
    <t>Glaze Polishing Abrasive-L140-240# (GVT)</t>
  </si>
  <si>
    <t>Gear Oil 140- EP140</t>
  </si>
  <si>
    <t>M.S. Square Pipe 60x60x3mmx5.5mtr</t>
  </si>
  <si>
    <t>PAM (ETP Chemicals) (Polycrylamide)</t>
  </si>
  <si>
    <t>PAC (ETP Chemicals) (Poly Aluminium Cloride)</t>
  </si>
  <si>
    <t>Reducer - HKL77-Y4-36.46-K-W6</t>
  </si>
  <si>
    <t xml:space="preserve">UPPER PRESS BELT 75AT20-7860+6MM APL </t>
  </si>
  <si>
    <t>Transit Pad Dia180x40- (GVT)</t>
  </si>
  <si>
    <t>Grease EP 00</t>
  </si>
  <si>
    <t>Transit Pad Dia180x25-(GVT)</t>
  </si>
  <si>
    <t>Lower Movable Wheel - TBSC1-01-01</t>
  </si>
  <si>
    <t>Timing Belt 30AT10</t>
  </si>
  <si>
    <t>10TON SINGLE ACTING HYDRAULIC JACK WITH MANUAL HYDRAULIC HAND PUMP (TRAVEL-100MM CLOSED,HEIGHT-200MM</t>
  </si>
  <si>
    <t>PNEUM. CHAMFERING HEAD,COMPL.ASSY-KD379.00</t>
  </si>
  <si>
    <t xml:space="preserve">Endless Flat Belt - 95X9X10300 MM </t>
  </si>
  <si>
    <t>Nylon Polishing Pad-Dia180x2-(GVT)</t>
  </si>
  <si>
    <t>Reducer NMRV90-15.0-B6</t>
  </si>
  <si>
    <t>S Grade Calibrating Roller 240x800(740)X595x5 80#</t>
  </si>
  <si>
    <t>S Grade Calibrating Roller 240x800(740)X595x5 70#</t>
  </si>
  <si>
    <t>S Grade Calibrating Roller 240x800(740)X595x5 60#</t>
  </si>
  <si>
    <t>Driven Hollow Shaft - TBSC8B-04 - 200293271</t>
  </si>
  <si>
    <t>Pulley PM157-0018,TAV-3, POS-11</t>
  </si>
  <si>
    <t>75 Belt Wheel - TBSC8B-01 - 200293268</t>
  </si>
  <si>
    <t>Glaze Polishing Abarsive-L140-3000# GVT</t>
  </si>
  <si>
    <t>Glaze Polishing Abrasive-L140-5000#- (GVT)</t>
  </si>
  <si>
    <t>Glaze Polishing Abrasive-L140-1500#-(GVT)</t>
  </si>
  <si>
    <t>Wool Pad Dia180x24-(GVT)</t>
  </si>
  <si>
    <t>Gear Box, NMRV-P063-I20,I/P SHAFT DIA-19MM HOLLOW,O/P SHAFT DIA-25MM HOLLOW,MOTOVARIO</t>
  </si>
  <si>
    <t>Chamfering Head Complete.Assy - KD302.00</t>
  </si>
  <si>
    <t>Guide Flat Key - TBSC8A-06V10 - 200180804</t>
  </si>
  <si>
    <t xml:space="preserve">Endless Flat Belt - 95X9X12300 MM </t>
  </si>
  <si>
    <t xml:space="preserve">Endless Flat Belt 95X9X8300 MM </t>
  </si>
  <si>
    <t>S Grade Calibrating Roller 240x800(740)X595x5 50#</t>
  </si>
  <si>
    <t>100W LED COMPLETE STREET LIGHT FITTING (100w LED Street Lamp, Street Lighting Fixture IP65 Waterproof,complete fitting,pole mounting type)</t>
  </si>
  <si>
    <t>Diamond Chamfering Wheel 200x140x9x9 (K364)</t>
  </si>
  <si>
    <t>Abrasive L170mm 800#</t>
  </si>
  <si>
    <t>BEARING-32017 (01095817),TAV-001,POS-15 - Taper Roller Bearing</t>
  </si>
  <si>
    <t>Nylon Polishing Wheel-Dia180x18-(GVT)</t>
  </si>
  <si>
    <t>Abrasive L170mm 600#</t>
  </si>
  <si>
    <t>Reducer,TAB:VPE10-80,POS:7, TYPE:VPE80</t>
  </si>
  <si>
    <t>Bearing UCP - 210/SY50TF Insert Ball Bearing with Housing</t>
  </si>
  <si>
    <t>Lower Drive Shaft - TBSC8A-05V10 - 200237268</t>
  </si>
  <si>
    <t>Bearing 6209 - 2RS Ball Bearing</t>
  </si>
  <si>
    <t>Belt Timing 1700 H 100</t>
  </si>
  <si>
    <t>Bearing  32011 / Q Taper Roller Bearing</t>
  </si>
  <si>
    <t>Upper Drive Shaft -TBSC8A-01V10 - 200237267</t>
  </si>
  <si>
    <t>Drive Shaft Key - KO236.02-23</t>
  </si>
  <si>
    <t xml:space="preserve">Wool Pad  180X8 </t>
  </si>
  <si>
    <t>copper winding wire  23.0 SWG</t>
  </si>
  <si>
    <t>Dust Proof Cover-2 - KD356-26A - 200059532</t>
  </si>
  <si>
    <t>Bearing UC - 208/ YAR - 208 Insert Ball Bearing</t>
  </si>
  <si>
    <t>Guide, PM105-0566,TAV-1.1,POS-15</t>
  </si>
  <si>
    <t>Belt Timing 1400 H 100</t>
  </si>
  <si>
    <t>Centering  Wheel - TBSZ3B-04A-01</t>
  </si>
  <si>
    <t>MOTOR COOLING FAN 3KW(ID-28XOD-140MM) PVC</t>
  </si>
  <si>
    <t>Bearing 6307 - 2RS Ball Bearing</t>
  </si>
  <si>
    <t>Bearing UCFL - 206  Insert Bearing with Housing</t>
  </si>
  <si>
    <t>Pulley PM157-0049,TAV-1.1, POS-19</t>
  </si>
  <si>
    <t>Abrasive L170mm 120#</t>
  </si>
  <si>
    <t>Bearing 6306 - 2RS Ball Bearing</t>
  </si>
  <si>
    <t>Bearing 6203 - 2RS Ball Bearing</t>
  </si>
  <si>
    <t>MPCB 4-6.3 A</t>
  </si>
  <si>
    <t>M.S.Flat Bar 50x5mm</t>
  </si>
  <si>
    <t>Abrasive L170mm 400#</t>
  </si>
  <si>
    <t>Abrasive L170mm 1000#</t>
  </si>
  <si>
    <t>Abrasive L170mm 180#</t>
  </si>
  <si>
    <t>Electrode 3.2mm Cast Iron</t>
  </si>
  <si>
    <t>Bandsaw Blade M42 B1 Metal</t>
  </si>
  <si>
    <t>Tube Light 4 Feet, 40W/ 36w</t>
  </si>
  <si>
    <t>ACETYLENE GAS CYLINDER REFILLING</t>
  </si>
  <si>
    <t>Abrasive L170mm 60#</t>
  </si>
  <si>
    <t>Abrasive L170mm 80#</t>
  </si>
  <si>
    <t xml:space="preserve">BOLT HILTI M12X125 / M12x120 </t>
  </si>
  <si>
    <t>4CORE X 2.5 SQMM COPPER FLEXIBLE CABLE</t>
  </si>
  <si>
    <t>Rubber Hand Glove</t>
  </si>
  <si>
    <t>Bearing 6205 - 2RS Ball Bearing</t>
  </si>
  <si>
    <t>V Ring Seal - TWVA00850 - 100005342</t>
  </si>
  <si>
    <t>Sleeve PM041-0003, TAV-5, POS-4</t>
  </si>
  <si>
    <t>Cylinder Movable  TBSB-26 200011470</t>
  </si>
  <si>
    <t>Cylinder - ESDA-50X40-B</t>
  </si>
  <si>
    <t>OXYGEN GAS CYLINDER REFILLING</t>
  </si>
  <si>
    <t xml:space="preserve">TERMINAL PLATE (FOR ABB 37KW MOTOR) </t>
  </si>
  <si>
    <t>SBT COUPLING SPIDER PU T75 (36 ID X 75MM OD X 17MM THK)</t>
  </si>
  <si>
    <t>Araldite-250grams</t>
  </si>
  <si>
    <t>LED MIRROR LIGHT</t>
  </si>
  <si>
    <t xml:space="preserve">BOLT HILTI M 16x125 </t>
  </si>
  <si>
    <t>BOLT HEX GI M12x80</t>
  </si>
  <si>
    <t>Welding Electrode 3.2mm M.S. (E6013)</t>
  </si>
  <si>
    <t>Connecting Sleeve  KD356F-03A  200257266</t>
  </si>
  <si>
    <t xml:space="preserve">BOLT HEX GI M12x70 </t>
  </si>
  <si>
    <t>Pipe Wrench 18"</t>
  </si>
  <si>
    <t>BOLT HEX GI M12x50</t>
  </si>
  <si>
    <t>Transfusion device, 100033479</t>
  </si>
  <si>
    <t xml:space="preserve">BOLT HEX GI M10x50 </t>
  </si>
  <si>
    <t>BOLT HEX GI M12X90 - GEO012</t>
  </si>
  <si>
    <t>Carbon Brush Set,A65,MAKE:BOSCH</t>
  </si>
  <si>
    <t>Gasket 100548</t>
  </si>
  <si>
    <t>Igus Bearing - GFM-2528-21 - 100006362</t>
  </si>
  <si>
    <t>BOLT HEX GI M10x40</t>
  </si>
  <si>
    <t>ENCLOSERE MPCB/ELR091</t>
  </si>
  <si>
    <t>Common Flat Key - GB1096-1979C12X220</t>
  </si>
  <si>
    <t>Common Flat Key 22x56 GB 1096-1979</t>
  </si>
  <si>
    <t xml:space="preserve">BOLT MS M16x60 </t>
  </si>
  <si>
    <t>BOLT HEX GI M14x50</t>
  </si>
  <si>
    <t>BOLT HEX GI M18x70</t>
  </si>
  <si>
    <t>BOLT ALLEN HT M12x50</t>
  </si>
  <si>
    <t>Rotating Waterproof KD379-12 200204479</t>
  </si>
  <si>
    <t>NUT GI M18</t>
  </si>
  <si>
    <t>Wire Brush</t>
  </si>
  <si>
    <t>COPPER CABLE LUGS ROUND TYPE M8X25SQMM</t>
  </si>
  <si>
    <t xml:space="preserve">BOLT HEX GI M10x70 </t>
  </si>
  <si>
    <t>Hack Saw Blade</t>
  </si>
  <si>
    <t>Starter for T/L -FSU- 36w/40w</t>
  </si>
  <si>
    <t>Bush Reducer  1/4" x 1/8" Brass</t>
  </si>
  <si>
    <t xml:space="preserve">Shaft Connection Joint - KD352-14A (HRC-90) </t>
  </si>
  <si>
    <t>COPPER CABLE LUGS TUBULAR TYPE 6mm</t>
  </si>
  <si>
    <t xml:space="preserve">Silencer - 1/8" </t>
  </si>
  <si>
    <t>1" Fibre Glass Tape Roll</t>
  </si>
  <si>
    <t>SPRING WASHER MS M14</t>
  </si>
  <si>
    <t xml:space="preserve">Oil Seal 55 x 72 x 8 </t>
  </si>
  <si>
    <t xml:space="preserve">BOLT HEX GI M8x40 </t>
  </si>
  <si>
    <t>COPPER CABLE LUGS ROUND TYPE M8X6SQMM</t>
  </si>
  <si>
    <t>CABLE LUGS PIN TYPE-1.5SQMM</t>
  </si>
  <si>
    <t>Mobil Pegasus Oil 1107</t>
  </si>
  <si>
    <t>CONTROL MODULE FOR GA37+FF COMPRESSOR PART NO:P1900520013</t>
  </si>
  <si>
    <t>Motor 15KW 1460 RPM</t>
  </si>
  <si>
    <t>Oil Seperator 426555</t>
  </si>
  <si>
    <t>INPUT UNIT(OMRON)-CJIW-ID262(177396)</t>
  </si>
  <si>
    <t>OUTPUT UNIT(OMRON)-CJIW-OD232(177399)</t>
  </si>
  <si>
    <t>Power Module ,PA202 (POWER SUPPLY UNIT,MAKE:OMRON</t>
  </si>
  <si>
    <t>Output Unit-110805H- CJ1W-OC211--CCT+0001535</t>
  </si>
  <si>
    <t>copper winding wire 19.0 SWG</t>
  </si>
  <si>
    <t>copper winding wire 18.5 SWG</t>
  </si>
  <si>
    <t>Contactor - 3RT1056-6AF36</t>
  </si>
  <si>
    <t>Oil Filter/ Filter Cartrige 225125</t>
  </si>
  <si>
    <t>100W LED FLOOD LIGHT FITTING</t>
  </si>
  <si>
    <t>Piston pump Card PPB13085910/13085907</t>
  </si>
  <si>
    <t>Ventilator with 0.37kw-A800283,TAV-G,POS-5</t>
  </si>
  <si>
    <t>DIN Rail Relay Socket,Make:- Omron,Model :-PYF14A , Front Connecting, Screw, 14 Pins, 5 A, 250 VAC,22X59,2-M4X10</t>
  </si>
  <si>
    <t>CONTACTOR KIT-3RT1964-6A</t>
  </si>
  <si>
    <t>Oil Filter/ Turbo Charger Filter- 235027</t>
  </si>
  <si>
    <t>Ceramic Gear pump,A110036/C,FIG-27A,PAGE-36,POS-4, MODEL:HD BLACK 706</t>
  </si>
  <si>
    <t>Regulator Servo CC25120074 / LFS8321430/S</t>
  </si>
  <si>
    <t>MPCB 27-32A-3RV2021-4EA10</t>
  </si>
  <si>
    <t>Normal Varnish- Motor Rewinding</t>
  </si>
  <si>
    <t xml:space="preserve">LEVEL GAUGE (MILPF004) </t>
  </si>
  <si>
    <t>PANNEL A/C COOLING FAN,MAKE:EMC,MODEL:RB2C-190/160 K010 I-1010,230V AC,65/90W,RPM-2500/2600MIN-1</t>
  </si>
  <si>
    <t>Input Unit-CJIW-ID211 -CCT+0001016</t>
  </si>
  <si>
    <t>50W  LED COMPLETE FITTING,MODEL:UFO17-150W,POWER:50W,VOLTAGE:85-265V AC</t>
  </si>
  <si>
    <t>Contactor 11KW/24V AC,LC1D25B7</t>
  </si>
  <si>
    <t>Power Module CJ1W-PA-205R for Press Feeder</t>
  </si>
  <si>
    <t>BRAKE COIL FOR MGM BA100LB4 AC 230/400V</t>
  </si>
  <si>
    <t>CHOKE 250W (BALLAST)</t>
  </si>
  <si>
    <t>Sealing Rings/ Spark Plug Rings 102981</t>
  </si>
  <si>
    <t>MPCB 20-25A,3RV1021-4DA10</t>
  </si>
  <si>
    <t>PHOTO ELELCTRIC SENSOR E3FA DP25 OMS (E3FA0060A)</t>
  </si>
  <si>
    <t>CONTACTOR 40A/3POLE - LC1D40M7-18.5kw/220v Ac</t>
  </si>
  <si>
    <t>Contactor 11kw/220v AC-LCI-D2510M7N</t>
  </si>
  <si>
    <t>CONTACTOR 22KW/110VAC-3RT1036-1AF00</t>
  </si>
  <si>
    <t>CONTACTOR KIT - 3RT1955-6A</t>
  </si>
  <si>
    <t>MPCB 1.1-1.6A3RV2021-1AA20</t>
  </si>
  <si>
    <t>Contactor 7.5kw 220v AC-LCID18M7C</t>
  </si>
  <si>
    <t>OVER LOAD RELAY,40-50A-3RU1136-4HB0</t>
  </si>
  <si>
    <t>Brake Coil for Brake Motor BA 71B4, 230/400V/ELF013</t>
  </si>
  <si>
    <t>18W LED CEELING LIGHT MAKE: AKT</t>
  </si>
  <si>
    <t>Push Rod -117361</t>
  </si>
  <si>
    <t>Card (Omron) -CJIW-ID211- PE001-0102</t>
  </si>
  <si>
    <t>CABLE FOR CAMSHAFT PICK UP-199126</t>
  </si>
  <si>
    <t>MPCB 13-18A,GV2ME20</t>
  </si>
  <si>
    <t>BRAKE KIT (STUD,NUT,SPRING) FOR MGM BA100LB4 AC 230/400V</t>
  </si>
  <si>
    <t>MCB 32A- 3pole-810086</t>
  </si>
  <si>
    <t>MPCB 6-10A-make schnider</t>
  </si>
  <si>
    <t>Ribbed hose 659127</t>
  </si>
  <si>
    <t>BRAKE COIL FOR MGM BA 80B4 400V</t>
  </si>
  <si>
    <t>Bearing 6212 - 2RS  Ball Bearing</t>
  </si>
  <si>
    <t>CONTACTOR 22KW  50A-3P,LC1D50AQ7 415A</t>
  </si>
  <si>
    <t>copper winding wire 29 SWG</t>
  </si>
  <si>
    <t>MPCB 16-22A-3RV2021-4CA20</t>
  </si>
  <si>
    <t>Outlet Gas Pressure Gauge Range 0-400 M.Bar</t>
  </si>
  <si>
    <t>Cavo Molex Femmina HPC3-Flat cable-A800977-Digital P.M</t>
  </si>
  <si>
    <t>Bearing NU 211 ECP Cylindrical Roller Bearing</t>
  </si>
  <si>
    <t>13A DOUBLE SOCKET HAGAR</t>
  </si>
  <si>
    <t>MCB 20A-Single Pole-810003</t>
  </si>
  <si>
    <t>FLY KILLER BLUE LAMP (INSECT KILLER)</t>
  </si>
  <si>
    <t>PVC MOTOR COOLING FAN 7.5KW(ID32XOD120MM)</t>
  </si>
  <si>
    <t>NO- ELEMENT,MAKE:ETN,MODEL:M22-CK10</t>
  </si>
  <si>
    <t>PROXIMITY SENSOR MAKE- ESSEN MODEL - IEK3002BBKG/US OUT PUT - PNP NO SUPPLY - 24V DC</t>
  </si>
  <si>
    <t>Pad Locks - 8 Lever</t>
  </si>
  <si>
    <t>Tubular Copper Lugs 185mm</t>
  </si>
  <si>
    <t>GENERATOR OPERATIONAL DATA-1</t>
  </si>
  <si>
    <t>Panel Cooling Fan,SIZE:172X150X51,,MAKE:REXNORD,MODEL:21725 A2,VOLTS-240V AC,50HZ</t>
  </si>
  <si>
    <t>Selector Switch 2 Position-240v AC-XB2-BD21X1</t>
  </si>
  <si>
    <t>Micro-Switch-SMC00139962/ 04431103</t>
  </si>
  <si>
    <t>Ignitor for 250w-HPSV-Fittings-IGN112S/MH</t>
  </si>
  <si>
    <t>Plastic Broom</t>
  </si>
  <si>
    <t>Easy Flow Rod</t>
  </si>
  <si>
    <t>Panel Cooling Fan Cover 325x325mm</t>
  </si>
  <si>
    <t>Tube Light Single Fittings(36W)-IPC 1414 HSB</t>
  </si>
  <si>
    <t>CONNECTOR FEMALE M8 STRAIGHT 4WIRE,2MTR,MC2002-0036,MAKE MURR ELECTRONIC</t>
  </si>
  <si>
    <t>Master Relay  for 1/5,1/6,1/8 hp comp</t>
  </si>
  <si>
    <t>Pressure Guage - 0-150 Bar</t>
  </si>
  <si>
    <t>Lamp HPSV THREAD TYPE-250W SON-T Super-</t>
  </si>
  <si>
    <t>Selector Switch 3 Position-2B2-BD3C</t>
  </si>
  <si>
    <t>PERSONALISED DIARY/ Customized Diary</t>
  </si>
  <si>
    <t>CFL SCREW TYPE BULB 15W-YPZ220/15-3U-RR-MAKE-FSL</t>
  </si>
  <si>
    <t>Soldering Iron 25Watt,230 VAC</t>
  </si>
  <si>
    <t>Carbon Brush D13 UR</t>
  </si>
  <si>
    <t>Multiple Socket 13AMP/3pin</t>
  </si>
  <si>
    <t>RELAY - 14PIN,5A,MY41N 220/240(OMRON)</t>
  </si>
  <si>
    <t>JUNCTION BOX 100x100MM 4WAY PVC</t>
  </si>
  <si>
    <t>Relay 14 Pin MY4IN 110 V Ac (S)-MC0106-0277</t>
  </si>
  <si>
    <t>20A SWITCH HAGAR</t>
  </si>
  <si>
    <t>18W LED SCREW TYPE BULB MAKE:AKT</t>
  </si>
  <si>
    <t>Switch Auxil(NC Block)-3RH1921-2CA01</t>
  </si>
  <si>
    <t>8mm Fiber Glass Sleeves</t>
  </si>
  <si>
    <t>Switch Auxil-3RH1921-1CA10</t>
  </si>
  <si>
    <t>Auxillary Contact Block MNX 45-80 L &amp; T</t>
  </si>
  <si>
    <t>Switch Auxil(NC Block)-3RH1921-1CA01</t>
  </si>
  <si>
    <t>GENERATOR OPERATIONAL DATA-2</t>
  </si>
  <si>
    <t>PVC Patress Box 3"x3"</t>
  </si>
  <si>
    <t>ELECTRICAL MAINTENANCE LOG BOOK</t>
  </si>
  <si>
    <t>CARBON BRUSH 5MMX8MMX14MM</t>
  </si>
  <si>
    <t>Push Button with Red Indicator-24VAC/DC</t>
  </si>
  <si>
    <t>DIN RAIL CONNECTORS, 4MM</t>
  </si>
  <si>
    <t>Capacitor 2.5uf 415v</t>
  </si>
  <si>
    <t>Royal brand light weight transparent fragile water bottle</t>
  </si>
  <si>
    <t>Din Rail connector 25mm</t>
  </si>
  <si>
    <t>Bearing 626 - 2Z  Ball Bearing</t>
  </si>
  <si>
    <t>Masking Tape 1" (Paper Tape)</t>
  </si>
  <si>
    <t>Pipe  20mm  PVC (CONDUTE PIPE)</t>
  </si>
  <si>
    <t>COPPER CABLE LUGS ROUND TYPE M10X25SQMM</t>
  </si>
  <si>
    <t>COPPER CABLE LUGS ROUND INSULATED TYPE 4x5mm</t>
  </si>
  <si>
    <t>COPPER CABLE LUGS ROUND INSULATED TYPE 6x6mm</t>
  </si>
  <si>
    <t>COPPER CABLE LUGS ROUND TYPE 150x12mm</t>
  </si>
  <si>
    <t>Grub Screw M8X10MM</t>
  </si>
  <si>
    <t>Hydraulic Oil 1400S (SYNECO OIL)</t>
  </si>
  <si>
    <t>DIE SET DE MAGNET CONTROL BOARD AS110N470038</t>
  </si>
  <si>
    <t>60X120 UPPER PUNCH BACK SIDE (RESIN COATED)</t>
  </si>
  <si>
    <t>60x120 FINE SIDE LOWER PUNCH (RESIN COATED)</t>
  </si>
  <si>
    <t>30X60 - Lower Punches - Self Design Geometry Relief WITH RESIN COATING, Dimension:37x323.25x641.64 mm</t>
  </si>
  <si>
    <t>40x40 Lower/ Fine Side Punches with Resin Coating,DIMENSION:28X425.46X425.46</t>
  </si>
  <si>
    <t>Bearing-RK-165-13-0099,FIG-4,TAB-3.3</t>
  </si>
  <si>
    <t>Pin MT-ST-60-00019</t>
  </si>
  <si>
    <t>Bearing 63007 - 2RS Ball Bearing</t>
  </si>
  <si>
    <t>Brake Disc for BA71B4</t>
  </si>
  <si>
    <t>PU WELDABLE BELT REINFORCED  VLW 13/A</t>
  </si>
  <si>
    <t>Bearing NU 311 ECP Cylindrical Roller Bearing</t>
  </si>
  <si>
    <t>Bearing 6300 - 2RS Ball Bearing</t>
  </si>
  <si>
    <t>Valve,05565578,FIG-37,TAB-2818.003</t>
  </si>
  <si>
    <t>Bearing 6009 - 2RS  Ball Bearing</t>
  </si>
  <si>
    <t>Bearing 608 - 2RS Ball Bearing</t>
  </si>
  <si>
    <t>Valve Pressure Max (Big) -05553010</t>
  </si>
  <si>
    <t>Pin-CAS67701007</t>
  </si>
  <si>
    <t>Pin-CAF97501011</t>
  </si>
  <si>
    <t>Brake KIT (STUD,NUT,SPRING) for Brake Motor MGM, BA71B4</t>
  </si>
  <si>
    <t>Bearing 626 - 2RS  Ball Bearing</t>
  </si>
  <si>
    <t>ALLEN BOLT HT M20x60</t>
  </si>
  <si>
    <t>Oil Paint Marker white</t>
  </si>
  <si>
    <t>Pinion 56.03.025</t>
  </si>
  <si>
    <t>Normal File / Paper File - Cupboard</t>
  </si>
  <si>
    <t>WORE ROPE CLAMP 10MM 'D' TYPE</t>
  </si>
  <si>
    <t>MCB 25A/1POLE</t>
  </si>
  <si>
    <t>Air Filter Galv. Sheet frame, Al Sectional support 500x500x75mm foam RF 80 PPI</t>
  </si>
  <si>
    <t>WHITE BOARD MARKER</t>
  </si>
  <si>
    <t>Wire Braided flexible Hose Pipe 1"</t>
  </si>
  <si>
    <t>M.S. H Beam 200x200x12 Mts</t>
  </si>
  <si>
    <t>Dirt blaster- 4.114-019.0 For KARCHER M/C</t>
  </si>
  <si>
    <t>Gear reducer,Model:R67-Y100M4-0,Ratio:28.83,2.2KW,1400Rpm,Make:Qiangzhu,S.No:01612087624-4-1</t>
  </si>
  <si>
    <t>Roto Injec.Fluid(Oil Rs Ultra)20ltr-1630204120-MAMF</t>
  </si>
  <si>
    <t>Grinding Machine 9" Dewalt</t>
  </si>
  <si>
    <t xml:space="preserve">Oil Filter - 1625752501/2903752501 </t>
  </si>
  <si>
    <t>High-pressure hose 15M- 6.110-030.0 For KARCHER M/C</t>
  </si>
  <si>
    <t>GLAZE VERTICAL PUMP-1PO00173/1PO00150</t>
  </si>
  <si>
    <t xml:space="preserve">M.S.Flat Bar 100 x 10mm  </t>
  </si>
  <si>
    <t>LATHE MACHINE DOG CHUCK 8"X3JAW</t>
  </si>
  <si>
    <t>SHAFT FOR ETN 65-050-250,TAB-31,POS-210,MAKE:KSB</t>
  </si>
  <si>
    <t>WHITE PAINT 4LTRS</t>
  </si>
  <si>
    <t>Pulley - PM157-0009</t>
  </si>
  <si>
    <t>Belt V C187</t>
  </si>
  <si>
    <t>NESCAFÉ Original Instant Coffee Sachets - 200 x 1.8g Sticks</t>
  </si>
  <si>
    <t>Bearing 6305 - 2Z Ball Bearing</t>
  </si>
  <si>
    <t>Regulator (PM 321-0010)</t>
  </si>
  <si>
    <t>Power nozzle - 2.113-001.0 For KARCHER M/C</t>
  </si>
  <si>
    <t>REVOLVING CENTER (LIVE CENTER) FOR LATHE MACHINE,SIZE:3-4</t>
  </si>
  <si>
    <t>Quickbury Cookies Shortbread 400 g</t>
  </si>
  <si>
    <t>Bearing 6306 - 2Z Ball Bearing</t>
  </si>
  <si>
    <t>Drill Bit 25 mm</t>
  </si>
  <si>
    <t>SETS OF HOLE PUNCH (6,8,10,12,16,20)</t>
  </si>
  <si>
    <t>Tap Set M14 HSS</t>
  </si>
  <si>
    <t>Shaft protecting sleeve for ETN-065-050-250 GG CP Pump, P.No.524</t>
  </si>
  <si>
    <t xml:space="preserve">Nylon Rod 40mm x 1 Mtr </t>
  </si>
  <si>
    <t>Drill Bit 26.50mm  TAPER SHANK HSS</t>
  </si>
  <si>
    <t>NYLON ROD 50MMX1MTR</t>
  </si>
  <si>
    <t>ABRO THINNER(5LTR)</t>
  </si>
  <si>
    <t>Gas Cutting Nozzles 3/32, Type-A (for Acetylene)</t>
  </si>
  <si>
    <t>Stainless Steel Hook-3CHL205001X</t>
  </si>
  <si>
    <t>Drill Bit 19.50mm  TAPER SHANK HSS</t>
  </si>
  <si>
    <t>PVC COOLING FAN 45KW (ID-60MMXOD-300MM)</t>
  </si>
  <si>
    <t>Milling Cutter 16 mm</t>
  </si>
  <si>
    <t>Flow Master 11/2" (WC Fitting)</t>
  </si>
  <si>
    <t>White Cutting Tools 8X8X200MM,STS</t>
  </si>
  <si>
    <t>Fixed Pulley 1C-170xBD-30mm-8PU1C17030</t>
  </si>
  <si>
    <t>Drill Bit 8.5 mm HSS</t>
  </si>
  <si>
    <t>Carbide Tip Right Hand 3/4 "</t>
  </si>
  <si>
    <t>Wirenails 5"</t>
  </si>
  <si>
    <t>Carbide Tip Left Hand 3/4 "</t>
  </si>
  <si>
    <t>Drill Bit 6.0mm HSS</t>
  </si>
  <si>
    <t>Drill Bit 8.0mm HSS</t>
  </si>
  <si>
    <t>Belt V B75</t>
  </si>
  <si>
    <t>Oil Seal 90 x 110 x 12</t>
  </si>
  <si>
    <t>ROYAL DIARY</t>
  </si>
  <si>
    <t>Drill Bit 7.0 mm  HSS</t>
  </si>
  <si>
    <t>Milling Cutter 10 mm</t>
  </si>
  <si>
    <t>WORE ROPE CLAMP 14MM 'D' TYPE</t>
  </si>
  <si>
    <t>Drill Bit 10.0mm HSS</t>
  </si>
  <si>
    <t xml:space="preserve">DRILL BIT 12.5MM </t>
  </si>
  <si>
    <t>Measuring Tape 3 Mtrs</t>
  </si>
  <si>
    <t xml:space="preserve">Gum Abro 4min </t>
  </si>
  <si>
    <t>HAND WASH LIQUID</t>
  </si>
  <si>
    <t>Pneumatic Air Hose 6mm</t>
  </si>
  <si>
    <t>GRUB SCREW HT M16X15MM</t>
  </si>
  <si>
    <t>Drill Bit 6.80mm HSS</t>
  </si>
  <si>
    <t>Plug  2" PVC</t>
  </si>
  <si>
    <t>Allen Key 6mm</t>
  </si>
  <si>
    <t>Socket 1/2" G.I.</t>
  </si>
  <si>
    <t>Drill Bit 4mm HSS</t>
  </si>
  <si>
    <t>Painting Brush 4"</t>
  </si>
  <si>
    <t xml:space="preserve">Grub Screws M12X15MM </t>
  </si>
  <si>
    <t>50 Kgs Capacity Empty Bags (Sacks)</t>
  </si>
  <si>
    <t>BATTERY AA (1.5V) FOR CLOCK</t>
  </si>
  <si>
    <t xml:space="preserve">BOLT HEX GI M8x50 </t>
  </si>
  <si>
    <t>BOLT HEX MS M20x100</t>
  </si>
  <si>
    <t>Diamond Cutting Wheel Dia 350mm</t>
  </si>
  <si>
    <t>stud MS (threaded Bar)M14x1000</t>
  </si>
  <si>
    <t>Bearing 22217 E Spherical Roller Bearing</t>
  </si>
  <si>
    <t>Bearing UCP - 218 Insert Ball Bearing with Housing</t>
  </si>
  <si>
    <t xml:space="preserve">Belt V B54 </t>
  </si>
  <si>
    <t>GERMICIDE 1LTR</t>
  </si>
  <si>
    <t>MPCB 20-25A, GV2ME22</t>
  </si>
  <si>
    <t xml:space="preserve">BOLT HEX GI M16x80 </t>
  </si>
  <si>
    <t>LFLGRE0EP2 - Grease EP 2</t>
  </si>
  <si>
    <t>ISPSHP0079 - Roller TGM130</t>
  </si>
  <si>
    <t>ISPSHPGSD011 - Roller GSD 56</t>
  </si>
  <si>
    <t>ISPSHP0073 - Ring TGM130</t>
  </si>
  <si>
    <t>ISPSHPGSD001 - Ring GSD 56</t>
  </si>
  <si>
    <t>LBG0022320 - Bearing Roller 22320E Spherical Roller Bearing</t>
  </si>
  <si>
    <t>LBGTR22238CA - Bearing 22238-CA/W33C3 Spherical Roller Bearing</t>
  </si>
  <si>
    <t>IMBG022334 - BEARING 22334 FOR JC 46 JAW CRUSHER</t>
  </si>
  <si>
    <t>ISPSHPGSD014 - Oil seal GSD 56</t>
  </si>
  <si>
    <t>LFLGOEP150 - Gear Oil EP150</t>
  </si>
  <si>
    <t>ISPSHPGSD003 - Shovel GSD 56</t>
  </si>
  <si>
    <t>LBGTR32316 - Bearing 32316 / Q Taper Roller Bearing</t>
  </si>
  <si>
    <t>ISPSHP0083 - Shovel TGM130</t>
  </si>
  <si>
    <t>ISPSHGSD5632 - Bottom cover for Roller assembly,Diagram:4,Model:GSD56</t>
  </si>
  <si>
    <t>LBTVSPC3550 - Belt V SPC 3550</t>
  </si>
  <si>
    <t>ISPSHP0078 - Roller Shaft with Washer and Check Nut  TGM130</t>
  </si>
  <si>
    <t>ISPSHGSD5611 - Roll shaft, K4805.1.2-8 for Main frame, GSD 56</t>
  </si>
  <si>
    <t>IBTCB00500 - Flat Belt for Conveyor 3Ply, Width 500mmX10mm(thick) grade-M-24</t>
  </si>
  <si>
    <t>ISPSHP0081 - Rubber Gasket for Roller  Small Shaft  TGM130 / Rubber Sleeve</t>
  </si>
  <si>
    <t>LFMMSS4808 - M.S. Sheet 2440 x 1220 x 8MM</t>
  </si>
  <si>
    <t>LMMMG01024 - CONVEYOR ROLLERS 76X270MM</t>
  </si>
  <si>
    <t>ISPSHGSD5609 - Sloted nut, Diagram:4, GSD 56</t>
  </si>
  <si>
    <t>LBTV00C187 - Belt V C187</t>
  </si>
  <si>
    <t>LMMMG01023 - CONVEYOR ROLLERS 76X590MM</t>
  </si>
  <si>
    <t>LMMSB00474 - Electrode 3.2mm Super Base</t>
  </si>
  <si>
    <t>ISPSHGSD5631 - Top cover for Roller assembly,Diagram:4,Model:GSD56</t>
  </si>
  <si>
    <t>LBTSPB5550 - Belt V SPB - 5550</t>
  </si>
  <si>
    <t>LBG0UCP210 - Bearing UCP - 210/SY50TF Insert Ball Bearing with Housing</t>
  </si>
  <si>
    <t>LBTSPC3350 - Belt V SPC - 3350</t>
  </si>
  <si>
    <t>LMMCD00239 - Cutting Disc 9"</t>
  </si>
  <si>
    <t>LMMCE00004 - Electrode Carbo Nut 4mm</t>
  </si>
  <si>
    <t>LBNHT24120 - BOLT HEX HT M24X120MM</t>
  </si>
  <si>
    <t>ISPSHPGSD015 - YD Oil seal GSD 56</t>
  </si>
  <si>
    <t>ISPSHP0077 - Nut for roller shaft Top(L.H.thread) TGM130</t>
  </si>
  <si>
    <t>LBTV00C124 - Belt V C124</t>
  </si>
  <si>
    <t>LBG2RS6312 - Bearing 6312 - 2RS  Ball Bearing</t>
  </si>
  <si>
    <t>LBTV00C170 - Belt V C170</t>
  </si>
  <si>
    <t>LGMWI00155 - Wirenails 2-1/2"</t>
  </si>
  <si>
    <t>ISPSHPBRH1 - Nut for roller shaft Bottom(R.H.thread) TGM130</t>
  </si>
  <si>
    <t>LGMCW00028 - Cotton Waste</t>
  </si>
  <si>
    <t>ISPSHPGSD013 - Axle sleeve GSD 56</t>
  </si>
  <si>
    <t>ISPSHGSD5649 - Ducting cloth for main Air Blower,Model:GSD56</t>
  </si>
  <si>
    <t>ISPSHPGSD008 - Clamp nut B GSD 56</t>
  </si>
  <si>
    <t>LGMACEGR01 - ACETYLENE GAS CYLINDER REFILLING</t>
  </si>
  <si>
    <t>LBTV000B83 - Belt V B83</t>
  </si>
  <si>
    <t>ISPSHPRHT1 - Nut for roller shaft Top(R.H.thread) TGM130</t>
  </si>
  <si>
    <t>LMMBJ00212 - Belt Fastners  11/2" (M8X40MM)</t>
  </si>
  <si>
    <t>LMMSB00475 - Electrode 4mm Super Base</t>
  </si>
  <si>
    <t>LMMSS00425 - Silicon Sealant Tube - Abro</t>
  </si>
  <si>
    <t>LBNHT24100 - BOLT HEX HT M24X100</t>
  </si>
  <si>
    <t>LMMWE00360 - Welding Electrode 3.2mm M.S. (E6013)</t>
  </si>
  <si>
    <t>LMMCG00236 - Gland Packing 8 mm</t>
  </si>
  <si>
    <t>LBNHTHB2480 - HT Hex Bolt M24x80</t>
  </si>
  <si>
    <t>ISPPOL6134 - KEY BAR 30X20X1000</t>
  </si>
  <si>
    <t>ISPSHGSD5610 - Cross shaft, K4805.1.2-14 for Main frame, GSD 56</t>
  </si>
  <si>
    <t>LBNMS02060 - BOLT HEX MS M20x60</t>
  </si>
  <si>
    <t>LBTV000B87 - Belt V B87</t>
  </si>
  <si>
    <t>LBNGBHT2470 - BOLT HEX M24x70 HT</t>
  </si>
  <si>
    <t>LBTV000B88 - Belt V B88</t>
  </si>
  <si>
    <t xml:space="preserve">ISPSHGSD5605 - Skeleton type rubber oil seal PD90x120x12, HG4-692-67 </t>
  </si>
  <si>
    <t>LBNGB12130 - BOLT HEX GI M12x120</t>
  </si>
  <si>
    <t>LBNHHB1640 - Bolt Hex MS/HT M16x40</t>
  </si>
  <si>
    <t>LBNGB01640 - BOLT HEX M16x40</t>
  </si>
  <si>
    <t>ISPSHGSD5633 - Ducting cloth for Grinding mill,Model:GSD56</t>
  </si>
  <si>
    <t>LBNMSWAM24 - WASHER MS M24</t>
  </si>
  <si>
    <t>LGMOG00094 - OXYGEN GAS CYLINDER REFILLING</t>
  </si>
  <si>
    <t>LBGUCFL207 - Bearing UCFL - 207  Insert Bearing with Housing</t>
  </si>
  <si>
    <t xml:space="preserve">LMMWH00492 - Welding Holder/ Welding Thong </t>
  </si>
  <si>
    <t>LGMCH00027 - Cotton Hand Gloves</t>
  </si>
  <si>
    <t>LBNHTB1250 - BOLT HEX HT M12X50</t>
  </si>
  <si>
    <t>LBNMSSWA24 - SPRING WASHER MS M24</t>
  </si>
  <si>
    <t>LGEN302307 - NUT HT M16 302307</t>
  </si>
  <si>
    <t xml:space="preserve">LBNHTB2060 - BOLT HEX  HT M20x60 </t>
  </si>
  <si>
    <t>LBNHB24150 - BOLT HEX HT M24X150</t>
  </si>
  <si>
    <t>LBNSSB1235 - BOLT HEX SS M12x40</t>
  </si>
  <si>
    <t>LMMGB00215 - Blue Gum -Abro</t>
  </si>
  <si>
    <t>LBNHTWAS20 - WASHER HT M16</t>
  </si>
  <si>
    <t xml:space="preserve">LBNGB01650 - BOLT HEX GI M16x50 </t>
  </si>
  <si>
    <t>LBNMSNUT12 - NUT HEX MS M12</t>
  </si>
  <si>
    <t xml:space="preserve">LBNGB01240 - BOLT HEX GI M12X40 </t>
  </si>
  <si>
    <t xml:space="preserve">LBNMHB1660 - BOLT MS M16x60 </t>
  </si>
  <si>
    <t>LPSTNBL002 - Note Book Long(100P)</t>
  </si>
  <si>
    <t>LBNMSSPW30 - SPRING WASHER MS M30</t>
  </si>
  <si>
    <t>LGMCOCONB1 - COCONUT BROOMS</t>
  </si>
  <si>
    <t xml:space="preserve">LBNGB01230 - BOLT HEX GI M12x30 </t>
  </si>
  <si>
    <t>LGMOMOP250 - OMO DETERGENT POWDER 250GMS</t>
  </si>
  <si>
    <t>LOS10013010 - Oil Seal 100 x 130 x 10/ 100 x 130 x 13</t>
  </si>
  <si>
    <t>LBNPLWASM12 - PLAIN WASHER GI M12</t>
  </si>
  <si>
    <t>LMMSG00476 - Super Glue (ABRO)</t>
  </si>
  <si>
    <t>LBNGB01450 - BOLT HEX GI M14x50</t>
  </si>
  <si>
    <t>LBNMSB1260 - BOLT HEX MS M12x60</t>
  </si>
  <si>
    <t>LBNMSSPR16 - SPRING WASHER MS M16</t>
  </si>
  <si>
    <t>LBNGIB1280 - BOLT HEX GI M12x80</t>
  </si>
  <si>
    <t>LBTV000B75 - Belt V B75</t>
  </si>
  <si>
    <t xml:space="preserve">LBNGB01630 - BOLT HEX GI M16X30 </t>
  </si>
  <si>
    <t>LPSTSISSUE - Stores Issue Book -</t>
  </si>
  <si>
    <t xml:space="preserve">LBNGB01050 - BOLT HEX GI M10x50 </t>
  </si>
  <si>
    <t>LPSTBLAD01 - CUTTER BLADE FOR KNIFE</t>
  </si>
  <si>
    <t>LMMSCFL001 - Chain Simplex Full Link 1"</t>
  </si>
  <si>
    <t>LBNGB16100 - BOLT GI M16x100</t>
  </si>
  <si>
    <t>LBNSSSPW14 - SPRING WASHER SS M14</t>
  </si>
  <si>
    <t>LBNGIWAM20 - WASHER GI M20</t>
  </si>
  <si>
    <t>LBNMSWAM20 - WASHER MS M20</t>
  </si>
  <si>
    <t>LPSTWRBPEN - PEN (WRITING BALL PEN BLUE/BLACK/RED)</t>
  </si>
  <si>
    <t>ISPPOL6264 - Flat Key 18x70 - 100007597</t>
  </si>
  <si>
    <t>LBNSSAB810 - ALLEN BOLT (SS) M8X10</t>
  </si>
  <si>
    <t>LBNMSSPR06 - SPRING WASHER MS M6</t>
  </si>
  <si>
    <t>IPOLAB0046 - Glaze Polishing Abrasive-L140-800#-(GVT)</t>
  </si>
  <si>
    <t>IPOLAB0042 - Glaze Polishing Abrasive-L140-320#- (GVT)</t>
  </si>
  <si>
    <t>IRMCCNACHA - Nano Abrasive Liquid Chemical-A-(GVT)</t>
  </si>
  <si>
    <t>IPOLAB0045 - Glaze Polishing Abrasive-L140-600#-(GVT)</t>
  </si>
  <si>
    <t>IPOLAL140280 - Glaze Polishing Abrasive L-140-280#(GVT)</t>
  </si>
  <si>
    <t>ISPPOL6412 - Lower Press Belt 100AT20-10280+2/+ 3 APL POK041-TOP</t>
  </si>
  <si>
    <t>LGMRS04812 - Rubber Sheet-2140x1440x12mm</t>
  </si>
  <si>
    <t>IPOLARNCHEMC - Nano Abrasive Liquid Chemical-C GVT</t>
  </si>
  <si>
    <t>ISPSHPGZ3F - Electro Magnetic Vibrating Feeder   TGM130,MODEL:GZ3F,0.2KW,CAPACITY:25,220VOLTS,MAKE:LIMING</t>
  </si>
  <si>
    <t>IPOLAB0040 - Glaze Polishing Abrasive-L140 -180#-(GVT)</t>
  </si>
  <si>
    <t>IMMCP00003 - Kreisel Horizontal Centrifugal pump</t>
  </si>
  <si>
    <t>IPOLAB0043 - Glaze Polishing Abrasive-L140-400#-(GVT)</t>
  </si>
  <si>
    <t xml:space="preserve">ISPPOL6734 - UPPER PRESS BELT 75AT20-7860+6MM APL </t>
  </si>
  <si>
    <t>IPOLAB0041 - Glaze Polishing Abrasive-L140-240# (GVT)</t>
  </si>
  <si>
    <t>IPOLAB0038 - Glaze Polishing Abrasive-L140-1200#-(GVT)</t>
  </si>
  <si>
    <t>IPOLAB0044 - Glaze Polishing Abrasive-L140-5000#- (GVT)</t>
  </si>
  <si>
    <t>IPOLAB0039 - Glaze Polishing Abrasive-L140-1500#-(GVT)</t>
  </si>
  <si>
    <t>LFLGRE0EP0 - Grease EP 00</t>
  </si>
  <si>
    <t>IPOLAR1402000 - Glaze Polishing Abarsive-L140-2000#  GVT</t>
  </si>
  <si>
    <t>IPOLAB0083 - Transit Pad Dia180x40- (GVT)</t>
  </si>
  <si>
    <t>LEMWMCW010 - copper winding wire 21.0 SWG</t>
  </si>
  <si>
    <t>ISPPOL6097 - Chamfering Head Complete.Assy - KD302.00</t>
  </si>
  <si>
    <t>ISPPOL6890 - Reducer NMRV90-15.0-B6</t>
  </si>
  <si>
    <t>ISPPOL6275 - Front Dust Proof Cover - KD-356B-02</t>
  </si>
  <si>
    <t>LMMGB00065 - Gear Box-NMRV-P75, I:40,I/P Shaft Dia:19mm Hollow,O/P Shaft Dia:35MM Hollow,input flange OD:200mm &amp; PCD:175mm Make: Motovario</t>
  </si>
  <si>
    <t xml:space="preserve">ISPPOL6237 - Endless Flat Belt 95X9X8300 MM </t>
  </si>
  <si>
    <t>ISPPOL030T10 - Timing Belt 30T10</t>
  </si>
  <si>
    <t>LBG2Z06308 - Bearing 6308 - 2Z Ball Bearing</t>
  </si>
  <si>
    <t>IPOLAB0084 - Transit Pad Dia180x25-(GVT)</t>
  </si>
  <si>
    <t>IRMCCPAMCH - PAM (ETP Chemicals) (Polycrylamide)</t>
  </si>
  <si>
    <t>ISPPOL6001 - 100 Belt Wheel - TBSC8B-03 - 200293270</t>
  </si>
  <si>
    <t>IPOLAB0086 - Wool Pad Dia180x24-(GVT)</t>
  </si>
  <si>
    <t>IPOLAB0080 - Nylon Polishing Pad-Dia180x2-(GVT)</t>
  </si>
  <si>
    <t>LMMWIRBFL4 - Wire Braided flexible Hose Pipe 4"</t>
  </si>
  <si>
    <t xml:space="preserve">ISPPOL6235 - Endless Flat Belt - 95X9X10300 MM </t>
  </si>
  <si>
    <t>LSPPOPUST75 - SBT COUPLING SPIDER PU T75 (36 ID X 75MM OD X 17MM THK)</t>
  </si>
  <si>
    <t>LMMBRFV004 - Foot Valve 4" Brass</t>
  </si>
  <si>
    <t>LBGTR2220E - Bearing NU 2220 EC  Cylindrical Roller Bearing</t>
  </si>
  <si>
    <t>ISPPOL6068 - Belt 100AT20-8680</t>
  </si>
  <si>
    <t>ISPPOLSWP1 - Shaft for Water pump,Type:DWF 150-315/4/30, Make:Kenflo</t>
  </si>
  <si>
    <t>IPOLAB0032 - Abrasive L170mm 80#</t>
  </si>
  <si>
    <t xml:space="preserve">ISPPOL6166 - Cylinder - ESDA-100X30 </t>
  </si>
  <si>
    <t>ISPSHBG017 - BEARING-32017 (01095817),TAV-001,POS-15 - Taper Roller Bearing</t>
  </si>
  <si>
    <t>LTRGMTAR01 - Tarpoline 12X5Metrs</t>
  </si>
  <si>
    <t>LBG2Z06306 - Bearing 6306 - 2Z Ball Bearing</t>
  </si>
  <si>
    <t>LBG2RS6206 - Bearing 6206 - 2RS Ball Bearing</t>
  </si>
  <si>
    <t>LBG2RS6205 - Bearing 6205 - 2RS Ball Bearing</t>
  </si>
  <si>
    <t>ISPGL03462 - Pneumatic Air Hose Pipe 8mm</t>
  </si>
  <si>
    <t>LMMGIPIPE12 - Pipe 1/2" G.I. C classx6mtr-len</t>
  </si>
  <si>
    <t>LEMMO00039 - MPCB 6-10A-make schnider</t>
  </si>
  <si>
    <t>LEMPM00403 - MOTOR COOLING FAN 3KW(ID-28XOD-140MM) PVC</t>
  </si>
  <si>
    <t>IPOLAB0081 - Nylon Polishing Wheel-Dia180x18-(GVT)</t>
  </si>
  <si>
    <t>ISPPOLM019 - CENTREFUGUL PUMP SHAFT KCPV12-400GC/L</t>
  </si>
  <si>
    <t>LMMFKB0810 - Key Bar 8X10X300 MM</t>
  </si>
  <si>
    <t>ISPPOL6344 - Impeller Nut CL 80007 - ETP Spares</t>
  </si>
  <si>
    <t>LMMCS0T150 - Rubber Spider T150</t>
  </si>
  <si>
    <t>LBGYAR0206 - Bearing Yar 206 - 2F/ UC 206 Insert Bearing</t>
  </si>
  <si>
    <t>LEMTM00901 - 4mm Fiber Glass Sleeves (1NO=1mtr length)</t>
  </si>
  <si>
    <t>ISPGLSPM22 - Synchro belt,TAB:VPE03-80,POS:12, TYPE:VPE80</t>
  </si>
  <si>
    <t>ISPPOL6629 - Shaft Joint/ Coupler - KD 356-12 - 200003689</t>
  </si>
  <si>
    <t>LMMIE00227 - Electrode 3.2mm Cast Iron</t>
  </si>
  <si>
    <t>LBG2RS6309 - Bearing 6309 - 2RS  Ball Bearing</t>
  </si>
  <si>
    <t>LBG2RS6203 - Bearing 6203 - 2RS Ball Bearing</t>
  </si>
  <si>
    <t>ISPPOL6839 - Movable Block TBSZ1C-07V10 200284932</t>
  </si>
  <si>
    <t>LMMAR00197 - Araldite-250grams</t>
  </si>
  <si>
    <t>LTLPIPEW36 - Pipe Wrench 36"-R-61G</t>
  </si>
  <si>
    <t>ISPPOL6801 - Cylinder Movable  TBSB-26 200011470</t>
  </si>
  <si>
    <t>ISPPOLAR20 - PRESSURE RELIEF VALVE,AR2000-02</t>
  </si>
  <si>
    <t>ISPPR02366 - Support UCF208-P/B Bearing</t>
  </si>
  <si>
    <t>ISPPOL6375 - Key Bars-8x8mm, 1Ft Length</t>
  </si>
  <si>
    <t>LMMGIHON04 - Hose Nipple 4" G.I.</t>
  </si>
  <si>
    <t>LMMSSF0003 - Flange 3" S.S.</t>
  </si>
  <si>
    <t>LMMMSDWNR6 - Flange 6" Blind, WNRF, M.S.</t>
  </si>
  <si>
    <t>LMMHP00384 - Pneumatic Air Hose 12mm</t>
  </si>
  <si>
    <t>LMMGIHON03 - Hose Nipple 3" G.I.</t>
  </si>
  <si>
    <t xml:space="preserve">ISPPOL6365 - Key Bar 8X7 MM </t>
  </si>
  <si>
    <t>LMMPO00376 - Penetrating Oil</t>
  </si>
  <si>
    <t>LMMMSF0006 - Flange 6" M.S. D-TABLE</t>
  </si>
  <si>
    <t>ISPPOL6864 - Tile Pushing Claw TBST-04 200011747</t>
  </si>
  <si>
    <t>LTLGWR8158 - Grinding Wheel Rough 8" x 1" x 5/8"</t>
  </si>
  <si>
    <t>ISPPOL6887 - Pressure Meter Y40ZTBF10KG 100138010</t>
  </si>
  <si>
    <t>LMMGD00326 - Grinding Disc 9"</t>
  </si>
  <si>
    <t xml:space="preserve">LMMMSR0604 - Reducer 6" x 4" M.S. </t>
  </si>
  <si>
    <t>LGMPLOCK06 - Pad Locks - 6 Lever</t>
  </si>
  <si>
    <t>LTLHAFRAME - Hack Saw Frame</t>
  </si>
  <si>
    <t>LTLDRIB102 - Drill Bit 10.20mm HSS</t>
  </si>
  <si>
    <t>ISPPOL6709 - Tile Pushig Block - KCO 3382.13 - 10.0, - TBST.05</t>
  </si>
  <si>
    <t>LOS0050688 - Oil Seal 50 x 68 x 8</t>
  </si>
  <si>
    <t>LEMCB00586 - Carbon Brush D13 UR</t>
  </si>
  <si>
    <t>LTLDRIB085 - Drill Bit 8.5 mm HSS</t>
  </si>
  <si>
    <t>ITRFLOS769 - Oil Seal 85 x 110 x 12 SP106924</t>
  </si>
  <si>
    <t>LMMSP00417 - Sand Paper Rough</t>
  </si>
  <si>
    <t>LGMTEFT001 - TEFLON TAPE 1"</t>
  </si>
  <si>
    <t>LEMIT00529 - Insulation Tape PVC - Black colour</t>
  </si>
  <si>
    <t>LPSTPMAR01 - PERMANENT MARKER</t>
  </si>
  <si>
    <t>ISPPOL6104 - Circlip for Hole 62-100007893</t>
  </si>
  <si>
    <t>LBNHTAB440 - BOLT ALLEN HT-M4x40</t>
  </si>
  <si>
    <t>LFLMOB1107 - Mobil Pegasus Oil 1107</t>
  </si>
  <si>
    <t>IEMDFERF80 - Air Filter Galv. Sheet frame, Al Sectional support 500x500x75mm foam RF 80 PPI</t>
  </si>
  <si>
    <t>LBG00NU311 - Bearing NU 311 ECP Cylindrical Roller Bearing</t>
  </si>
  <si>
    <t>LEMTM00852 - Filter Bag 464424</t>
  </si>
  <si>
    <t>LGENGAS048 - KICK STARTER-1201862 / 1238548</t>
  </si>
  <si>
    <t>LTRBAT200A - Battery 200AH</t>
  </si>
  <si>
    <t>LGENGAS154 - Oil Seperator 426555</t>
  </si>
  <si>
    <t xml:space="preserve">ISPKL04388 - SERIES (SAFETY RELAY)-3SK1121-2AB40 </t>
  </si>
  <si>
    <t>LEMFC00612 - Fridge Compressor 1/5 Danfoss</t>
  </si>
  <si>
    <t>LBG2RS6311 - Bearing 6311 - 2RS Ball Bearing</t>
  </si>
  <si>
    <t>LEMTM00856 - INPUT UNIT(OMRON)-CJIW-ID262(177396)</t>
  </si>
  <si>
    <t>LEMFC00105 - 4CX2.5SQMM COPPER FLEXIBLE CABLE</t>
  </si>
  <si>
    <t>LGENGAS152 - Oil Filter/ Filter Cartrige 225125</t>
  </si>
  <si>
    <t>LEMCO00193 - Contactor - 3RT1056-6AF36</t>
  </si>
  <si>
    <t>LGENGAS153 - Oil Filter/ Turbo Charger Filter- 235027</t>
  </si>
  <si>
    <t>ISPPRSCU31 - COMMUNICATION CARD,MAKE:OMRON,MODEL:SCU31-V1</t>
  </si>
  <si>
    <t>LBGRS63007 - Bearing 63007 - 2RS Ball Bearing</t>
  </si>
  <si>
    <t>LGENGAS116 - FILTER AIR/ Bag Filter- 253583</t>
  </si>
  <si>
    <t>LEMCO00226 - CONTACTOR KIT-3RT1964-6A</t>
  </si>
  <si>
    <t>LBG2RS6003 - Bearing 6003 - 2RS Ball Bearing</t>
  </si>
  <si>
    <t>LEMTL00771 - Tube Light 4 Feet, 40W/ 36w</t>
  </si>
  <si>
    <t>LBG2RS6002 - Bearing 6002 - 2RS Ball Bearing</t>
  </si>
  <si>
    <t>LEMCO00202 - Contactor 11kw/ 380v AC-LC1D2510Q7/LCID25U7C</t>
  </si>
  <si>
    <t>ISPKL04354 - Regulator Servo CC25120074 / LFS8321430/S</t>
  </si>
  <si>
    <t>LGENG1232128 - PUMP,1232128</t>
  </si>
  <si>
    <t>LEMCO00205 - Contactor 15kw/24v AC-LCID3210 B5N / LCID32B7</t>
  </si>
  <si>
    <t>LEMC200603 - Compressor 2HP for AC</t>
  </si>
  <si>
    <t>LFLLGHP025 - Bearing Grease/ Light Grease- LGHP 2/5</t>
  </si>
  <si>
    <t>LEMCO00203 - CONTACTOR 15KW/110VAC-3RT2027-2AG20</t>
  </si>
  <si>
    <t>LEMCONK225 - CONTACT KIT FOR CONTACTOR ,MODEL-NC2-225,MAKE:CHINT</t>
  </si>
  <si>
    <t>LGENGBGP18 - M Panel Battery (GP18-12)12V-18A</t>
  </si>
  <si>
    <t>LGMFRIDC16 - Fridge Compressor 1/6 HP</t>
  </si>
  <si>
    <t>LGENGAS085 - Scrapper Ring 320 - 337459</t>
  </si>
  <si>
    <t>LEMMR00372 - TIMER,MAKE:OMRON,MODEL:H3DK-G,COIL:24-240VAC/DC,50/60 HZ,6.6VA,UN 250VAC,30VDC, 1s-120s</t>
  </si>
  <si>
    <t>ISPSH3AG20 - CONTACTOR  COIL 110V AC 3RT1034-3AG20</t>
  </si>
  <si>
    <t>ISPPR08018 - ELECTRODE,CODE:CCT+0008018</t>
  </si>
  <si>
    <t>LGENGAS167 - FILTER AIR (Filter Bag) 257320</t>
  </si>
  <si>
    <t>ISPPR02098 - Ring Circlip 20MM - 6003023</t>
  </si>
  <si>
    <t>LEMWMBC004 - Brake Disc for Brake Motor MGM BA 90LB4/ELF013</t>
  </si>
  <si>
    <t>LEMLEDB018 - 18W LED CEELING LIGHT MAKE: AKT</t>
  </si>
  <si>
    <t>ISPPR01171 - Brake Disc for BA71B4</t>
  </si>
  <si>
    <t>LEMTM00932 - MPCB 20-25A,3RV1021-4DA10</t>
  </si>
  <si>
    <t>ISPGL801232 - ETHERNET CABLE,A801232 (FOR DIGITAL PRINTING M/C)MODEL:708/1208</t>
  </si>
  <si>
    <t>LEMCO00225 - CONTACTOR KIT - 3RT1955-6A</t>
  </si>
  <si>
    <t>LGENGAS161 - Sealing Rings/ Spark Plug Rings 102981</t>
  </si>
  <si>
    <t>LEMES00687 - Photo Electric Diffuse Sensor,M18,Withoout Wire,Make :- Micro Detectors,Model:- SS7/0P-0E,400 mm, PNP NO/NC, M12 PLUG</t>
  </si>
  <si>
    <t>LEMCHOK250 - CHOKE 250W (BALLAST)</t>
  </si>
  <si>
    <t>LEMSP00423 - Socket 13Amp-3pin</t>
  </si>
  <si>
    <t>LEMCB00004 - MPCB 13-18A,GV2ME20</t>
  </si>
  <si>
    <t>ISPPR02023 - Pulley - DCL-17508036</t>
  </si>
  <si>
    <t>LBG2RS6208 - Bearing 6208 - 2RS Ball Bearing</t>
  </si>
  <si>
    <t>LEMSE00682 - Sensor OMRON-E2A-M12LN08-M1-B1</t>
  </si>
  <si>
    <t>LEMRE00759 - RELAY - 5PIN,10A,G2R-1(OMRON)SN1 230 ACS</t>
  </si>
  <si>
    <t>LGENGAS126 - Exhaust Manifold Gasket-320983</t>
  </si>
  <si>
    <t>LEMCO00199 - Contactor 11kw/220v AC-LCI-D2510M7N</t>
  </si>
  <si>
    <t xml:space="preserve">LEMIK00471 - INSTALLATION KIT AC 5HP </t>
  </si>
  <si>
    <t>LBG2RS6204 - Bearing 6204 - 2RS Ball Bearing</t>
  </si>
  <si>
    <t>LEMCO00222 - CONTACTOR 7.5KW/110VAC-3RT2025-2AG20</t>
  </si>
  <si>
    <t>LGENGAS045 - JOINT ROUND OIL COOLER320-241376</t>
  </si>
  <si>
    <t>LGENGAS136 - Gasket 100548</t>
  </si>
  <si>
    <t>LEMMC00065 - MPCB 4-6.3 A</t>
  </si>
  <si>
    <t>LBG2RS6202 - Bearing 6202 - 2RS Ball Bearing</t>
  </si>
  <si>
    <t>LMMHP00383 - Pneumatic Air Hose Pipe 10mm</t>
  </si>
  <si>
    <t>LEMSL00814 - Soldering Lead</t>
  </si>
  <si>
    <t>LGENGAS179 - GASKET FOR 320 -101790</t>
  </si>
  <si>
    <t>LGENGAS148 - O Ring - Green 100092/1248243</t>
  </si>
  <si>
    <t>LEMCO00219 - Contactor 4kw/110VAC-3RT2023-2AG20</t>
  </si>
  <si>
    <t>ISPPR02042 - Pulley -ACP14008061,TAB-4200,FIG-45</t>
  </si>
  <si>
    <t>LGENGAS151 - O Ring Green 100093</t>
  </si>
  <si>
    <t>ISPSH01085 - Connector-0421094</t>
  </si>
  <si>
    <t>ISPSH01086 - Contactor 04037270</t>
  </si>
  <si>
    <t>LEMSOLRAC1 - OVER LOAD RELAY FOR 1,1.5,2 HP COMP</t>
  </si>
  <si>
    <t>LEMTLSF036W - Tube Light Single Fittings(36W)-IPC 1414 HSB</t>
  </si>
  <si>
    <t>LEMLEDPAN1 - LED PANEL LIGHT,MAKE:NOMI,MODEL-NOMI,PB003-000225,18W,RATED,POWER 18W,COLOR-WHITE</t>
  </si>
  <si>
    <t>LEMEF00632 - Easy Flow Rod</t>
  </si>
  <si>
    <t>LEMPC00397 - PROCESSOR COOLING FAN(SMALL) 12VDC-CCT+0014197</t>
  </si>
  <si>
    <t>LEMMP00064 - MCB 20A-Single Pole-810003</t>
  </si>
  <si>
    <t>LEMTM00977 - Lamp HPSV THREAD TYPE-250W SON-T Super-</t>
  </si>
  <si>
    <t>IEMCF172150 - Panel Cooling Fan,SIZE:172X150X51,,MAKE:REXNORD,MODEL:21725 A2,VOLTS-240V AC,50HZ</t>
  </si>
  <si>
    <t>LEMCT00582 - Cable Tie 400mm</t>
  </si>
  <si>
    <t xml:space="preserve">LEMCT00583 - Cable Tie-350mm </t>
  </si>
  <si>
    <t>LEMCV00593 - Charging Valve (AC)</t>
  </si>
  <si>
    <t>LEMCA00783 - Capacitor 35uf 415v</t>
  </si>
  <si>
    <t>LPSTGODA02 - GENERATOR OPERATIONAL DATA-2</t>
  </si>
  <si>
    <t>LEMCT00576 - Cable Tie 300x4.8mm</t>
  </si>
  <si>
    <t>LGMOXYGCY75 - OXYGEN GAS CYLINDER (7.5LITRES)</t>
  </si>
  <si>
    <t>LEMFUSE32A - Cylindrical Fuse 32A(14X51MM)-3NW6112-1</t>
  </si>
  <si>
    <t>IEMPR00733 - Relay 5Pin 21VDC COIL -G2RV-1-S</t>
  </si>
  <si>
    <t>LGMCT00025 - COTTON WASTE CLOTH TYPE</t>
  </si>
  <si>
    <t>LEMSS00244 - Selector Switch 3 Position-2B2-BD3C</t>
  </si>
  <si>
    <t>LPSTGODA01 - GENERATOR OPERATIONAL DATA-1</t>
  </si>
  <si>
    <t>LEMBP15WSCTY - CFL SCREW TYPE BULB 15W-YPZ220/15-3U-RR-MAKE-FSL</t>
  </si>
  <si>
    <t>LEMCAP0005 - Capacitor 5uf,415V AC</t>
  </si>
  <si>
    <t>LMMGASCO07 - Gas R134A COMPRESSOR OIL</t>
  </si>
  <si>
    <t>LGMFA00006 - AIR FRESHNER/ROOM FRESHNER</t>
  </si>
  <si>
    <t>LMMHP00386 - Pneumatic Air Hose 6mm</t>
  </si>
  <si>
    <t>ISPGL03776 - Water Proof Socket 32A-ZD-124</t>
  </si>
  <si>
    <t>LEMTM00894 - 14 Pin Relay MY4IN 24 V DC ( S )</t>
  </si>
  <si>
    <t>LEMIG00796 - Ignitor for 250w-HPSV-Fittings-IGN112S/MH</t>
  </si>
  <si>
    <t>LEMPB00519 - PVC Patress Box 3"x3"</t>
  </si>
  <si>
    <t>LPSTAKNIFE - Adjustable Knife</t>
  </si>
  <si>
    <t xml:space="preserve">LEMBA00483 - Battery 9 Volts </t>
  </si>
  <si>
    <t>LEMFUSE16A - Cylindrical Fuse 16A(10X38MM)-3NW6005-1</t>
  </si>
  <si>
    <t>LEMCA00784 - Capacitor 45uf 415v</t>
  </si>
  <si>
    <t>LMMPIPE025 - Pipe  25mm  PVC (CONDUTE PIPE)</t>
  </si>
  <si>
    <t>LEMPB36519 - PVC Patress Box 3"x6"</t>
  </si>
  <si>
    <t>LEMST00799 - Starter for T/L -FSU- 36w/40w</t>
  </si>
  <si>
    <t>LEMGS00329 - Gang Switch 2way-6A</t>
  </si>
  <si>
    <t>ISPPR02195 - Sensors -1M12-04NNS-ZW1-(6011976/DC-10-30V)</t>
  </si>
  <si>
    <t>LEMMS00372 - Multiple Socket 13AMP/3pin</t>
  </si>
  <si>
    <t>LMMHB00330 - Hack Saw Blade</t>
  </si>
  <si>
    <t>LEMTP00540 - Cable Tray PVC 16X16mm  3mtr</t>
  </si>
  <si>
    <t>LEMPC00525 - Coupler 1" (25mm)  PVC/ PVC Socket 1" (25mm)</t>
  </si>
  <si>
    <t>LGENG100639 - SEALING RING FOR THERMOCOUPLE-100639</t>
  </si>
  <si>
    <t>LGMCONN004 - Concrete Nails - 4"</t>
  </si>
  <si>
    <t>LEMFD00651 - Fridge Dryer</t>
  </si>
  <si>
    <t>LEMNOPUSHB - SCHINEDER ELECTRIC NO CONTACT ELEMENT FOR PUSH BOTTON</t>
  </si>
  <si>
    <t>LGMBA00007 - BATTERY AA (1.5V) FOR CLOCK</t>
  </si>
  <si>
    <t>LEMCA00780 - Capacitor 2.5uf 415v</t>
  </si>
  <si>
    <t>LEMFUSE06A - Cylindrical Fuse 6A(10X38)3NW6001-1</t>
  </si>
  <si>
    <t>LEMCA00785 - Capacitor 4uf</t>
  </si>
  <si>
    <t>LEMCLINS65 - COPPER CABLE LUGS ROUND INSULATED TYPE 6x6mm</t>
  </si>
  <si>
    <t xml:space="preserve">LEMFUSE02A - Cylindrical Fuse 2A </t>
  </si>
  <si>
    <t>LEMCL00095 - CABLE LUGS PIN TYPE-6SQMM</t>
  </si>
  <si>
    <t xml:space="preserve">ISPPR02101 - Ring Circlip 22MM - 6003020 </t>
  </si>
  <si>
    <t>LEMCL00128 - COPPER CABLE LUGS ROUND TYPE M8X6SQMM</t>
  </si>
  <si>
    <t>STORENRGPITEM - SOLAR LIGHT SET</t>
  </si>
  <si>
    <t>ISPGLDM614 - VERTICAL ELECTRONIC PCARD FOR 2 PRINTHEADS,8QA800614, SMC08527996</t>
  </si>
  <si>
    <t>ISPGL03570 - Scanning Head-XP10100157 ,XAAR1003-GS12C</t>
  </si>
  <si>
    <t>ISPGLV130002 - Mobile knife 2001000005, TAV-B1,POS-15</t>
  </si>
  <si>
    <t>ISPGLV130004 - Fixed knife 2001000006, TAV-B1,POS-22</t>
  </si>
  <si>
    <t>ISPGLD49548 - Ink filter - ME49548/ G638W 2X6</t>
  </si>
  <si>
    <t>ISPGL03251 - Galvanized Profile Belt guide Sec-C-8PRS001z/ 8PRS003</t>
  </si>
  <si>
    <t>ISPGL03237 - Fixed Pulley-1C-230xBD-35mm-8PU1C23035</t>
  </si>
  <si>
    <t>LEMC500604 - Compressor 5 HP for AC</t>
  </si>
  <si>
    <t>ISPGLDISC1 - DISC,3DC00062,TAV-39.3,POS-1.1</t>
  </si>
  <si>
    <t>LEMACECO05 - ELECTRONIC CARD FOR 5HP OUTDOOR A/C,MAKE:PANASONIC</t>
  </si>
  <si>
    <t>IASHPTRUCK3T - HAND OPERATED PALLET TRUCK- 3 TON CAPACITY</t>
  </si>
  <si>
    <t>ISPGL400181 - Unilastic pipe, A400181, TAV-D, POS-10</t>
  </si>
  <si>
    <t>ISPGL03489 - PULLEY 1C-250 BORE DIA-35(8PU1C25035)</t>
  </si>
  <si>
    <t>LMMGB63020 - Gear Box, NMRV-P063-I20,I/P SHAFT DIA-19MM HOLLOW,O/P SHAFT DIA-25MM HOLLOW,MOTOVARIO</t>
  </si>
  <si>
    <t>LEMACGAR22 - Gas R22 for AC</t>
  </si>
  <si>
    <t>LEMTM00910 - Gas R134 for AC</t>
  </si>
  <si>
    <t>ISPGL03279 - Green Pvc Guide 40x10 1000MM</t>
  </si>
  <si>
    <t>LBTV0CR300 - Belt Conical CR300 Trapezoidal Section</t>
  </si>
  <si>
    <t>LBTV00C330 - Belt V C330</t>
  </si>
  <si>
    <t>ISPGLDM185 - Ink filter,8QA600185</t>
  </si>
  <si>
    <t>ISPGLMCR222 - Conical Belt Termosaldate   8CIT222CBR</t>
  </si>
  <si>
    <t>ISPGLP4INK - RICARICA IS4INK 200(CLEANING CLOTH)-A920005</t>
  </si>
  <si>
    <t>ISPGLDM108 - Print head to P-Card cable,8QA801108</t>
  </si>
  <si>
    <t>ISPGLI0009 - Impeller 8Q4075180009</t>
  </si>
  <si>
    <t>LGMFS00048 - FOAM(SPONGE)SHEET 3"-X8'X4'</t>
  </si>
  <si>
    <t>LBTV00C230 - Belt V C230</t>
  </si>
  <si>
    <t xml:space="preserve">LMMFFB10010 - M.S.Flat Bar 100 x 10mm  </t>
  </si>
  <si>
    <t>LBTV00C194 - Belt V   C194</t>
  </si>
  <si>
    <t>ISPGL03448 - Pipe 8TU0607S (Rubber Pipe L-500),TAV-39.3,POS-2</t>
  </si>
  <si>
    <t xml:space="preserve">ISPGL03429 - PERFORATED TUBE - 3CCO0004 </t>
  </si>
  <si>
    <t>LBTV00C288 - Belt V C288</t>
  </si>
  <si>
    <t>LBTV00C268 - Belt V C268</t>
  </si>
  <si>
    <t>LBTV00C236 - Belt V C236</t>
  </si>
  <si>
    <t>ISPGLPH10129 - POLYESTER 100% WIPES-PH10129-23X23CM/9"X9"(nominal)-Cleaning cloth</t>
  </si>
  <si>
    <t>LBTV00C300 - Belt V C300</t>
  </si>
  <si>
    <t>LBTV00B210 - Belt V B210</t>
  </si>
  <si>
    <t>LMMWFHOS12 - Flexible Water Hose Pipe 1/2"</t>
  </si>
  <si>
    <t>LMMFFB5056 - M.S.Flat Bar 50x5mm</t>
  </si>
  <si>
    <t>LBG2RS6005 - Bearing 6005 - 2RS Ball Bearing</t>
  </si>
  <si>
    <t>LOS0045658 - Oil Seal 45x65x8</t>
  </si>
  <si>
    <t>LEMBP00288 - BUSWAY PLUG 16A(SIEMENS)-BD01-AX01X/ZS</t>
  </si>
  <si>
    <t>LBG2RS6006 - Bearing 6006 - 2RS Ball Bearing</t>
  </si>
  <si>
    <t xml:space="preserve">LOS0457510 - Oil Seal  45 x 75 x 10 / 12 /45 x 75 x 8 </t>
  </si>
  <si>
    <t>LOS0406210 - Oil Seal 40X62X10</t>
  </si>
  <si>
    <t>ISPGL03227 - Finger Guard for Pulley Dia250mm Sec-C 8SA201524</t>
  </si>
  <si>
    <t>LGMSHG00122 - Surgical Gloves-100nos pack</t>
  </si>
  <si>
    <t>ISPGL03720 - Terminal Sec.C 8TP201421</t>
  </si>
  <si>
    <t>ISPGL03238 - Fixing Pin for C-Section- L-61mmxM8  8PF2011151</t>
  </si>
  <si>
    <t>LBNGIST012 - stud GI (threaded Bar)M12x1000</t>
  </si>
  <si>
    <t>LOS0030477 - Oil Seal 30x47x7</t>
  </si>
  <si>
    <t xml:space="preserve">LOS0025477 - Oil Seal 25 x 47 x 7 </t>
  </si>
  <si>
    <t xml:space="preserve">LMMSP00416 - Sand Paper Roll Rough </t>
  </si>
  <si>
    <t>ISPSH01032 - Bar Magnet Dia 32mm 300mm Length</t>
  </si>
  <si>
    <t>ISPSHSHAFT - SHAFT - ASP21002066,TAV-1000.02,POS-1</t>
  </si>
  <si>
    <t>LFMSSSH484 - SS Sheet 2440 x 1220 x 4mm, Grade: 304</t>
  </si>
  <si>
    <t>ISPSHBLADE - Blade-ASP21002068,TAV-1000.002,POS-2</t>
  </si>
  <si>
    <t>LMMDI00246 - Diaphragm B286-098-365</t>
  </si>
  <si>
    <t>ISPSHVLB0013 - B/2 21CLAMPING RING,MAKE-CUCCLINI,S.NO-5-8,MODEL-VLB1200 2X,S.NO.1114P2863</t>
  </si>
  <si>
    <t>LFLGOEP220 - Gear Oil EP220</t>
  </si>
  <si>
    <t>ISPSH01447 - Coppia D60/15 A Sbalzo White Galvinized N450T450</t>
  </si>
  <si>
    <t>ISPKL04346 - Reducer with Motor BWD1-59-0.75-(0.75kw)</t>
  </si>
  <si>
    <t>LEMTM00830 - MCCB 630A / 3 Pole (ABB),MODEL:SACE TMAX</t>
  </si>
  <si>
    <t>ISPSH01498 - Coupling 3101574</t>
  </si>
  <si>
    <t>ISPSH01037 - Solenoid Valve 05580221/TAV-1499.C03/POS-12</t>
  </si>
  <si>
    <t>ISPSH01036 - Valve 05558041/TAV-1013.002/POS-34</t>
  </si>
  <si>
    <t>LMMPO00382 - Plate Outer B612-194-157/B162194157</t>
  </si>
  <si>
    <t xml:space="preserve">ISPSH01323 - RUBBER ELEMENT TYPE "P"(19.7X40X49MM) </t>
  </si>
  <si>
    <t>LBGC306319 - Bearing 6319 - 2Z/C3 Ball Bearing</t>
  </si>
  <si>
    <t>ISPSSWM080 - SS.Wire Mesh #80 - 1.5 Mts</t>
  </si>
  <si>
    <t>ISPSH01296 - PUMP - 05603188/TAV-1021.005/POS-15</t>
  </si>
  <si>
    <t>ISPSHM0031 - Coupling  ATM06513019</t>
  </si>
  <si>
    <t>ISPSHROL50 - Roller D50/12 White Galvanized-L575 T555 A575,306060.ZB.M8</t>
  </si>
  <si>
    <t>LBG2RS6318 - Bearing 6318 - 2RS/C3  Ball Bearing</t>
  </si>
  <si>
    <t>ISPSH01128 - Disk-PPB31301002/TAV-0498.A/POS-13</t>
  </si>
  <si>
    <t>LBG00NU318 - Bearing NU 318</t>
  </si>
  <si>
    <t>IBTVSPC4500 - Belt V  SPC  4500</t>
  </si>
  <si>
    <t>LMMRD00403 - Rod Diaphragm B685-040-120</t>
  </si>
  <si>
    <t>ISPSH01212 - Housing-PPB31301004/TAV-0497.A/POS-1</t>
  </si>
  <si>
    <t>LBGC2Z6316 - Bearing 6316 - 2Z/C3 Ball Bearing</t>
  </si>
  <si>
    <t>ISPSH01152 - FILTER - 05671424/TAV-1013.002/POS-31</t>
  </si>
  <si>
    <t>ISPSHM0029 - Body PPB01050/TAV-0497.A/POS-2</t>
  </si>
  <si>
    <t>LMMSE00471 - Electrode 3.2mm S.S.</t>
  </si>
  <si>
    <t>LBGUCFL209 - Bearing UCFL - 209  Insert Bearing with Housing</t>
  </si>
  <si>
    <t>ISPSHSCSTK - SCREEN STRETCHING KIT SET(BOLT/NUT/SPACER),GRR0004,TAV-B/2,POS-35</t>
  </si>
  <si>
    <t>LMMDS00276 - Sprocket Duplex  3/4" x 17 Teeth</t>
  </si>
  <si>
    <t>LMMSS00148 - Shovel Small - GER026B</t>
  </si>
  <si>
    <t>ISPSH01419 - PLATE-PPB3001006TAV-0498.A/POS12</t>
  </si>
  <si>
    <t>LMMSC00156 - Special Cement Gum - SC2000 with Hardner</t>
  </si>
  <si>
    <t>LEMOR55250 - Overload Relay (55-250A) 3RB2066-IGC2</t>
  </si>
  <si>
    <t>LMMDC00260 - Chain Duplex  3/4"</t>
  </si>
  <si>
    <t>ISPSH01204 - Hatch Lock MTD 34001914,CAT-010AM017A,TAB-0601,FIG-01</t>
  </si>
  <si>
    <t>LMMDS00255 - Sprocket Duplex  3/4" x 36 Teeth</t>
  </si>
  <si>
    <t>LBGUCFL210 - Bearing UCFL - 210  Insert Bearing with Housing</t>
  </si>
  <si>
    <t xml:space="preserve">ISPSHM0038 - Nut  MTD34001173 </t>
  </si>
  <si>
    <t>ISPSH01366 - Fitting 05090121TAV-1013.002/POS-16</t>
  </si>
  <si>
    <t>LMMFM50503 - M.S.Sq Pipe 50 x 50 x 3mm</t>
  </si>
  <si>
    <t>LBG2Z06305 - Bearing 6305 - 2Z Ball Bearing</t>
  </si>
  <si>
    <t>LMMSSBV034 - Ball Valve  3/4"  S.S.</t>
  </si>
  <si>
    <t>ISPSHM0024 - Solenoid Valve  05580417</t>
  </si>
  <si>
    <t>ISPSH01024 - Nipple PH55009013/TAV-1013.002/POS-33</t>
  </si>
  <si>
    <t>LFMMSA756 - MS Angle 75 X75X6mm (6MTRS)</t>
  </si>
  <si>
    <t xml:space="preserve">LMMGS00055 - Gasket Sheet Asbestos - 3mm (1mtrx1mtr) </t>
  </si>
  <si>
    <t>LMMSSBV012 - Ball Valve 1/2" Screw Ends S.S</t>
  </si>
  <si>
    <t>LBTV00C177 - Belt V C177</t>
  </si>
  <si>
    <t>ISPSH01424 - Washer -PPB01057/TAV-0498.A/POS14</t>
  </si>
  <si>
    <t>LEMCB00003 - MPCB 1-1.6A  GV2ME06</t>
  </si>
  <si>
    <t>ISPSH01017 - Nipple 05114011/TAV-1013.002/POS-17</t>
  </si>
  <si>
    <t>LBG2Z06012 - Bearing  6012 - 2Z/C3 Ball Bearing</t>
  </si>
  <si>
    <t>LGMPWSH016 - Plywood 16mm Civil</t>
  </si>
  <si>
    <t>LEMCF00590 - Ceiling Fan 1200mm</t>
  </si>
  <si>
    <t>LMMBFV0004 - Valve Butterfly  4"</t>
  </si>
  <si>
    <t>LMMSE00470 - Electrode 2.5/2.6mm S.S.</t>
  </si>
  <si>
    <t>LMMBFV0002 - Valve Butterfly 2"</t>
  </si>
  <si>
    <t>ISPSH01166 - FLEXIBLE COUPLING - 03325009/TAV-1021.005/POS-13</t>
  </si>
  <si>
    <t>LBG2RS6209 - Bearing 6209 - 2RS Ball Bearing</t>
  </si>
  <si>
    <t>LEMMB00062 - MCB 32A- 3pole-810086</t>
  </si>
  <si>
    <t xml:space="preserve">LMMBFV0006 - Valve Butterfly  6" </t>
  </si>
  <si>
    <t>LMMGIR3412 - Reducer Bush 3/4" x 1/2" G.I.</t>
  </si>
  <si>
    <t xml:space="preserve">LMMPILTL12 - Piller Tap Long 1/2" </t>
  </si>
  <si>
    <t>ISPSH01035 - Pipe PPB3003009/TAV-1013.002/POS-36</t>
  </si>
  <si>
    <t>LGMAP00004 - ABRO THINNER(5LTR)</t>
  </si>
  <si>
    <t>ISPSH013560 - Flexible Coupling 03325008/TAV-1013.002/POS-13</t>
  </si>
  <si>
    <t>LEMHF00754 - FUSE HRCs 250A SF94233</t>
  </si>
  <si>
    <t>LGMLIFTB03 - Lifting Belt 3Tons 3Mt Length</t>
  </si>
  <si>
    <t>LBTV000C83 - Belt V C83</t>
  </si>
  <si>
    <t>LGMPIC0006 - Pneumatic Push in Connector 1/2 x 10mm</t>
  </si>
  <si>
    <t>LBTV000A82 - Belt V A82</t>
  </si>
  <si>
    <t>LGMPIC0011 - Pneumatic Push In Connector 1/2"X16MM</t>
  </si>
  <si>
    <t>ISPSH01370 - Fitting 05071035/TAV-1013.002/POS35</t>
  </si>
  <si>
    <t>LBTVSPA2300 - Belt V SPA 2300/ SPAX2300/ XPA2300</t>
  </si>
  <si>
    <t>ISPPR01314 - Coil 24VDC-05582004</t>
  </si>
  <si>
    <t>LTLALKS316 - Allen Key SET (3/16"-1/2")</t>
  </si>
  <si>
    <t>LMMGIHN003 - Hex. Nipple 3" G.I.</t>
  </si>
  <si>
    <t>LMMGIRB032 - Reducer Bush 3" x 2" G.I.</t>
  </si>
  <si>
    <t>LGMREDOXID - Red Oxide</t>
  </si>
  <si>
    <t>ISPSH01052 - Bushing-PPB01075-TAV-0498.A/POS-10</t>
  </si>
  <si>
    <t>LEMAF00273 - Axial Fan (Plastic Blades)120x120x38-240V</t>
  </si>
  <si>
    <t>LMMAJ00099 - Pneumatic Air Joint 10mm -153034</t>
  </si>
  <si>
    <t>LGMPVC3412 - Elbow 3/4"x1/2"  PVC</t>
  </si>
  <si>
    <t>LEMMB00052 - MCB 20A-3pole</t>
  </si>
  <si>
    <t>LMMGIDPL02F - Plug 2" G.I. FEMALE</t>
  </si>
  <si>
    <t>ISPSH01170 - Gasket - (Square) - PPB01067</t>
  </si>
  <si>
    <t>LMMSC00435 - Chain Simplex Full Link 3/4"</t>
  </si>
  <si>
    <t>LMMGIHN001 - Hex. Nipple 1" G.I.</t>
  </si>
  <si>
    <t>LMMPVBT112 - Bottle Trap 11/2"</t>
  </si>
  <si>
    <t>LGMPVCE012 - Elbow 1/2" PVC</t>
  </si>
  <si>
    <t>LMMGIUN001 - Union 1" G.I.</t>
  </si>
  <si>
    <t>LOS0659510 - Oil Seal 65 x 95 x 10</t>
  </si>
  <si>
    <t>LEMTC00147 - COPPER CABLE LUGS TUBULAR TYPE 150mm</t>
  </si>
  <si>
    <t>LGMPAINTB4 - Painting Brush 4"</t>
  </si>
  <si>
    <t>LMMSG00495 - Safety Goggles White</t>
  </si>
  <si>
    <t>LEMAS00178 - Switch Auxil(NC Block)-3RH1921-1CA01</t>
  </si>
  <si>
    <t>LBNCSKH830 - CSK BOLT HT M8X30</t>
  </si>
  <si>
    <t>LEMPP00389 - Plug 13A- 3Pin</t>
  </si>
  <si>
    <t>LEMCL00129 - COPPER CABLE LUGS ROUND TYPE M10X70SQMM</t>
  </si>
  <si>
    <t>LPSTSPIN56 - Stapler Pins (56)</t>
  </si>
  <si>
    <t>LEMAS00181 - Switch Auxil-3RH1921-1CA10</t>
  </si>
  <si>
    <t>LGMPAINTB2 - Painting Brush 2"</t>
  </si>
  <si>
    <t>LBNHB00620 - BOLT HEX  HT M6x20</t>
  </si>
  <si>
    <t>ISPGL03383 - Plain Washer M8</t>
  </si>
  <si>
    <t>LMMSS00453 - Sprocket Simplex  3/4" x 22 Teeth</t>
  </si>
  <si>
    <t>ISPPR04006 - PLATE,PH48004006 (06626738), FIG-20,CAT-014AL397A 5000L,TAB-0618</t>
  </si>
  <si>
    <t xml:space="preserve">ISPPR01786 - Mono Block S3/55 - CC11570052 </t>
  </si>
  <si>
    <t>ISPPR01007 - 30x60 Fine Side Punches-ST-0795-2 brs punch</t>
  </si>
  <si>
    <t>ISPPR5220071 - ACCUMULATOR 05220071</t>
  </si>
  <si>
    <t xml:space="preserve">ISPPR01785 - Mono Block P3/55 - CC11570020 </t>
  </si>
  <si>
    <t>ISPPR1117215 - 30x60 Lower/ Fine Side Punch-Self Desig-CR11172-15 tan punch</t>
  </si>
  <si>
    <t>ISPPR02274 - Solenoid Valve Unit -PH50009920,FIG-7,TAB-3063.A</t>
  </si>
  <si>
    <t>ISPPR01423 - Element 05607297</t>
  </si>
  <si>
    <t>ISPPRC2610 - Seal Kit,TAB-1196.A02,FIG-45, ( PH38308990 )</t>
  </si>
  <si>
    <t>ISPPR02275 - Solenoid Valve with  Coil 26VDC - 05580421,TAB-3060.AO4,FIG-123</t>
  </si>
  <si>
    <t>ISPPR04007 - WASHER,PH39804007,FIG-19,CAT-014AL397A 5000L,TAB-0618</t>
  </si>
  <si>
    <t>LBG2RS6201 - Bearing 6201 - 2RS Ball Bearing</t>
  </si>
  <si>
    <t>ISPPRC2607 - Scrapper -CAF17505010/17505006, FIG NO2 TABLE NO 1313.001</t>
  </si>
  <si>
    <t>ISPPR01458 - CARTRIDGE - 5673099 FIG NO.119 TAB NO.3820.R</t>
  </si>
  <si>
    <t>ISPPR08609 - GASKET,05008609,FIG-6,CAT-014AL397A 5000L,TAB-0618</t>
  </si>
  <si>
    <t>ISPPR02305 - Spiral Hose for Powder Feeding 5"-6600004</t>
  </si>
  <si>
    <t>LMMBT00395 - PU WELDABLE BELT REINFORCED  VLW 13/A</t>
  </si>
  <si>
    <t>LBG2RS6301 - Bearing  6301 - 2RS Ball Bearing</t>
  </si>
  <si>
    <t>ISPPRFLX0197 - KIT-FLX0197, TABLE NO:TAV.03, FIG.NO.02</t>
  </si>
  <si>
    <t>ISPRM25321 - Gasket 05001705-CCRS002BI</t>
  </si>
  <si>
    <t>ISPPR02271 - Solenoid Valve 5580218</t>
  </si>
  <si>
    <t>ISPPR01214 - BUSH,65.03.208,FIG-14,TAB-03</t>
  </si>
  <si>
    <t>ISPPR01139 - Bearing-RK-165-13-0099,FIG-4,TAB-3.3</t>
  </si>
  <si>
    <t>ISPKL04063 - Bushing 89.03.237</t>
  </si>
  <si>
    <t>LBG2R63000 - Bearing 63000 - 2RS Ball Bearing</t>
  </si>
  <si>
    <t>ISPPR02512 - Kit-05607553/ 5583414,FIG-8,TAB-3062.B</t>
  </si>
  <si>
    <t>ISPPRRS5056 - Roller Sleeve Plain ID-49.5MMXOD-56MM,MATERILAL:EPDM FOR 50MM ROLLER</t>
  </si>
  <si>
    <t>ISPPRTPUSP - Tile Push Plate for Press Feeder</t>
  </si>
  <si>
    <t>ISPPR02509 - Kit-05607552/ 5583413,FIG-4,TAB-3062.B</t>
  </si>
  <si>
    <t>ISPPR01226 - Unit-4101002, NUE-7-285,</t>
  </si>
  <si>
    <t>ISPPRMSC01 - Main Scrapper for Press Feeder</t>
  </si>
  <si>
    <t>LBG2RSH626 - Bearing 626 - 2RS  Ball Bearing</t>
  </si>
  <si>
    <t>ISPPR01388 - Dowell-PHR16105033</t>
  </si>
  <si>
    <t>LBG0UCF206 - Bearing UCF - 206  Insert Bearing with Housing</t>
  </si>
  <si>
    <t>ISPSHVP20007 - Packing, TAV-1.0,POS-33, Model:VP2 800</t>
  </si>
  <si>
    <t>ISPPR01286 - Cartridge (Filter) 05673018 FIG NO.12 TAB NO.3820.J</t>
  </si>
  <si>
    <t>LMMHP00387 - Pneumatic Air Hose Pipe-16mm</t>
  </si>
  <si>
    <t>ISPPR02534 - Gasket 05001720</t>
  </si>
  <si>
    <t>LEMCAB0044 - 4CX4SQMM COPPER FLEXIBLE CABLE-AGR04040</t>
  </si>
  <si>
    <t>ISPPOL6094 - Centering  Wheel - TBSZ3B-04A-01</t>
  </si>
  <si>
    <t>LBTVSPA1600 - Belt V XPA 1600/ SPA1600/SPAX1600</t>
  </si>
  <si>
    <t>ISPPR02125 - Roller Pin-D-12mm,DRAWING NO:WACL-PRE-013</t>
  </si>
  <si>
    <t>ISPPR01294 - Cartridge/Filter-05673970 FIG NO.61 TAB NO. 2819.001</t>
  </si>
  <si>
    <t>ISPPR01215 - Bush,67.03.022,FIG-34,TAB-3</t>
  </si>
  <si>
    <t>ISPPR01293 - Cartridge/Filter-05673042 FIG NO.31 TAB NO.2712.015</t>
  </si>
  <si>
    <t xml:space="preserve">ISPPR01977 - Pneumatic Cylinder-EMAL-U32x50-FA </t>
  </si>
  <si>
    <t>LEMRE00757 - RELAY - 14PIN,4A,MY41N 24CDS(OMRON)</t>
  </si>
  <si>
    <t>LBG2RS0608 - Bearing 608 - 2RS Ball Bearing</t>
  </si>
  <si>
    <t>ISPGL03676 - Squeegee Roll- 10 Metres</t>
  </si>
  <si>
    <t>LEMDB00314 - Distribution Board-4ways-810336</t>
  </si>
  <si>
    <t>ISPSOR5253 - Silencer SA5740008</t>
  </si>
  <si>
    <t>LGMPLOCK07 - Pad Locks - 7 Lever</t>
  </si>
  <si>
    <t>ISPGL03774 - Water Proof Plug 32 A</t>
  </si>
  <si>
    <t>ISPPR01867 - Pin (Slot Type)-6515133</t>
  </si>
  <si>
    <t>LMMGISN001 - Socket 1" G.I.</t>
  </si>
  <si>
    <t>LEMMETNENO - NO- ELEMENT,MAKE:ETN,MODEL:M22-CK10</t>
  </si>
  <si>
    <t xml:space="preserve">LOS0014267 - Oil Seal  14 x 26 x 7 </t>
  </si>
  <si>
    <t>ISPPR02537 - Gasket 05008050</t>
  </si>
  <si>
    <t>ISPKL04275 - Pin PM141-0194, TAV-5, POS-18</t>
  </si>
  <si>
    <t>ISPKL04036 - Bearing -SR-000-13-0006</t>
  </si>
  <si>
    <t>ISPKL04043 - Belt PM365-0112</t>
  </si>
  <si>
    <t>ISPKL04609 - Plain Rubber Sleeve-Dia-44x38mm-MAKE:EPDM</t>
  </si>
  <si>
    <t xml:space="preserve">ISPKL04422 - SOLENOID VALVE - CC26100006 </t>
  </si>
  <si>
    <t>LMMVA00042 - Variator Alumi 4Pole Speed-TXF005-14-14</t>
  </si>
  <si>
    <t>ISPKLCFIBRE - Ceramic Fiber/ Ceramic Wool GRADE:S(1260 DEGREE CEL,MAKE:UNIFRAX</t>
  </si>
  <si>
    <t>LFLGRE0EP3 - Grease EP3</t>
  </si>
  <si>
    <t>ISPKL04479 - Thermocouple S-Type(CCT+0004537)</t>
  </si>
  <si>
    <t>ISPKL04022 - AUTO REGULATION-CC25120068</t>
  </si>
  <si>
    <t>ISPKL04435 - Spring (Roller Clip) RK-200-13-1027</t>
  </si>
  <si>
    <t>LEMCLEDF50 - 50W  LED COMPLETE FITTING,MODEL:UFO17-150W,POWER:50W,VOLTAGE:85-265V AC</t>
  </si>
  <si>
    <t>LCOMROTO01 - Roto Injec.Fluid(Oil Rs Ultra)20ltr-1630204120-MAMF</t>
  </si>
  <si>
    <t>LBTVSPB3000 - Belt V XPB3000/ SPBX3000/ SPB3000</t>
  </si>
  <si>
    <t>ISPKL04297 - Plain Rubber Sleeve-Dia-54X48mm,MATERIAL:EPDM</t>
  </si>
  <si>
    <t>IBT1700H100 - Belt Timing 1700 H 100</t>
  </si>
  <si>
    <t>ISPGLSGS403 - Spring Steel Guide Strip 40x3mm,LEN-3MTR</t>
  </si>
  <si>
    <t>ISPKL04437 - Spring RK-200-13-1166 / Spring for roller 55"</t>
  </si>
  <si>
    <t>LBTT1400150 - Timing Belt 1400 H 150</t>
  </si>
  <si>
    <t>ISPSOR5159 - Motor CMA+0000669,TAV-10,RIF-7</t>
  </si>
  <si>
    <t>IBT1700H150 - Belt Timing 1700 H 150</t>
  </si>
  <si>
    <t>ISPKL04327 - Pulley - PM157-0009</t>
  </si>
  <si>
    <t>ISPKLPUL03 - Pulley,PM161-0003</t>
  </si>
  <si>
    <t>LBTT1100150 - Timing Belt 1100H150</t>
  </si>
  <si>
    <t>LBTSPB4050 - Belt V SPB - 4050</t>
  </si>
  <si>
    <t xml:space="preserve">ISPKL04436 - SPRING FOR ROLLERS 50-DIA (KILN) </t>
  </si>
  <si>
    <t>ISPPR02311 - Spring Sleeve for Roller  Dia: 55mm</t>
  </si>
  <si>
    <t>ISPKL04652 - Extruded PM073-1469, TAV-2.1,POS-9</t>
  </si>
  <si>
    <t>ISPKL04159 - Fork (PM 085-0008)</t>
  </si>
  <si>
    <t>LMMSC00431 - Chain Simplex 5/8"</t>
  </si>
  <si>
    <t>ISPKL04398 - Shaft (PM 001-0024)</t>
  </si>
  <si>
    <t>LBTVSPA1800 - Belt V SPAX 1800/ SPA1800/ XPA1800</t>
  </si>
  <si>
    <t>ISPKLG0197 - GUIDE-PM105-0197,TAV-2.1,POS-15</t>
  </si>
  <si>
    <t>ISPKL04326 - Pulley PM157-0005,TAV-2.2, POS-49</t>
  </si>
  <si>
    <t>IBT1400H100 - Belt Timing 1400 H 100</t>
  </si>
  <si>
    <t xml:space="preserve">LBTVSPB3150 - Belt V SPB3150 </t>
  </si>
  <si>
    <t>ISPKL04190 - Guide PM105-0074,TAV-2.1, POS-25/ Polyzene profile,Drg.No:-WAC-RHK-002 (</t>
  </si>
  <si>
    <t>ISPKLG0398 - GUIDE-PM105-0398,TAV-2.1,POS-16</t>
  </si>
  <si>
    <t>ISPKL04191 - GUIDE PULLEY (JUMPER) PM093-0001,TAV-1.1, POS-9</t>
  </si>
  <si>
    <t>LBTSPB4500 - Belt V SPB - 4500/ SPBX4500/XPB4500</t>
  </si>
  <si>
    <t>LBTVSPB2500 - Belt V SPB2500</t>
  </si>
  <si>
    <t>LBTV00B270 - Belt V B270</t>
  </si>
  <si>
    <t>LMM130449660 - Hose Assy.for Grease pump AH4/50Kg,MAKE:ATS-ELGI</t>
  </si>
  <si>
    <t>ISPKLAH008 - Articulated head PM477-0008, TAV-3, POS-18</t>
  </si>
  <si>
    <t>LBGTRNU309 - Bearing NU 309 ECP Cylindrical Roller Bearing</t>
  </si>
  <si>
    <t xml:space="preserve">ISPGL03250 - Galvanized Profile Belt guide Sec.B-8PRS002z/ </t>
  </si>
  <si>
    <t>LBTV00B186 - Belt V B186</t>
  </si>
  <si>
    <t>LEMBATM075 - BATTERY,BRAND:MERCURY,7.5AH,12V DC</t>
  </si>
  <si>
    <t>ISPKL04206 - Bracket PM009-0030</t>
  </si>
  <si>
    <t>LBTV000B95 - Belt V B95</t>
  </si>
  <si>
    <t>LEMRT00545 - Rechargeable Torch Light</t>
  </si>
  <si>
    <t>ISPPR01963 - Plug (Pin)-CC06090003</t>
  </si>
  <si>
    <t>ISPKL04508 - Wheel PM181-0036,TAV-4.1, POS:H-05</t>
  </si>
  <si>
    <t>LMMDC00261 - Chain Duplex  3/8"</t>
  </si>
  <si>
    <t>LGMCHG0011 - Combination Hand gloves - GER068/69</t>
  </si>
  <si>
    <t>IMMSPB1603 - Ø132x3Ax2012T, ID:Ø38mm, Keyway:10x4mm C.I Taper lock pulley</t>
  </si>
  <si>
    <t>LMMSC00445 - Chain Simplex Half Link 5/8"</t>
  </si>
  <si>
    <t>LHTSETM0010 - Tap Set M10</t>
  </si>
  <si>
    <t>ISPKL04509 - Wheel PM181-0115,TAV-4.1, POS:C-02</t>
  </si>
  <si>
    <t>LBTV000B65 - Belt V B65</t>
  </si>
  <si>
    <t>LEMCON2BB41 - CONTACTOR 4KW,24V DC,3RT1016-2BB41 (AUXILARY 1NO+POWER 3NO)</t>
  </si>
  <si>
    <t>ISPKL04639 - Snap ring CC06100001</t>
  </si>
  <si>
    <t>LBG0UCP204 - Bearing UCP - 204  Insert Bearing with Housing</t>
  </si>
  <si>
    <t>LMMBTB0140 - Belt V B140</t>
  </si>
  <si>
    <t>ISPKL04642 - BRACKET  CODE- CCT+0001745  FIG -4</t>
  </si>
  <si>
    <t>LBNHTTBM20 - stud HT (threaded Bar)M20x1000MM</t>
  </si>
  <si>
    <t>LMMCF00267 - Chain Duplex  Full Link 3/8"</t>
  </si>
  <si>
    <t>LGMPB00102 - Plastic Broom</t>
  </si>
  <si>
    <t>LMMSC00437 - Chain Simplex Full Link 5/8"</t>
  </si>
  <si>
    <t>ISPKLS0508 - Screw CC20100008(M5X8MM)</t>
  </si>
  <si>
    <t>ISPGL03853 - Terminal  Sez.B 8TP201422</t>
  </si>
  <si>
    <t>LBNHB01680 - BOLT HEX  HT- M16x80</t>
  </si>
  <si>
    <t xml:space="preserve">LBNGB00840 - BOLT HEX GI M8x40 </t>
  </si>
  <si>
    <t>LPSTCORPEN - CORRECTION PEN</t>
  </si>
  <si>
    <t>LEMGF00717 - Fuse Glass 2A -20 MM KFS-2-2A</t>
  </si>
  <si>
    <t>LEMGF00745 - FUSE GLASS -1A-20mm</t>
  </si>
  <si>
    <t>LBG0032326 - Bearing 32326 Taper Roller Bearing</t>
  </si>
  <si>
    <t>LMMTJ00164 - TRANSITION JOINT-OD125MMX4"MDPE</t>
  </si>
  <si>
    <t>LMMSSBV001 - Ball Valve 1" Screwed Ends S.S</t>
  </si>
  <si>
    <t>LFMSSSH483 - SS Sheet 2440 x 1220 x 3mm, Grade: 304</t>
  </si>
  <si>
    <t>LMMDI00244 - Diaphragm 1B001 (Diaphram Rubber 2")</t>
  </si>
  <si>
    <t>LTLBEVI008 - Bench Vice 8"</t>
  </si>
  <si>
    <t>ISPOLSS150 - Shaft Sleeve for Pump DWF 150-315/4/30</t>
  </si>
  <si>
    <t>LMMWE00361 - MS WELDING ELECTRODE 4MM (6013)</t>
  </si>
  <si>
    <t xml:space="preserve">LMMMSFL004 - Flange 4" M.S. </t>
  </si>
  <si>
    <t>LMMMSBVF04 - Ball Valve 4" Flange, M.S.</t>
  </si>
  <si>
    <t>LMMSSBV002 - SS Ball Valve 2" Screw Ends</t>
  </si>
  <si>
    <t>LMMSSP0034 - Pipe 3/4" SS-6MTR LEN,2MM-WALL THICKNESS</t>
  </si>
  <si>
    <t>ISPPOL6695 - T' Shaped reducing pipe A EPEG12-8</t>
  </si>
  <si>
    <t>LMMGIBW003 - Elbow 3"  GI</t>
  </si>
  <si>
    <t>LFMCH10050 - M.S. 'C' Channel 100 x 50mm (6mtr)</t>
  </si>
  <si>
    <t>LMMBRB1812 - Bush Reducer 1/8" x 1/2" Brass</t>
  </si>
  <si>
    <t>ISPPOL6009 - Adjustable Spanner 12"</t>
  </si>
  <si>
    <t>LMMSB00206 - Bandsaw Blade M42 B1 Metal</t>
  </si>
  <si>
    <t>IMMCPKSBSPS1 - Shaft protecting sleeve for ETN-065-050-250 GG CP Pump, P.No.524</t>
  </si>
  <si>
    <t>IBDMTAP1X1 - SIKA MULTI SEAL AP BITUMINOUS SEALING TAPE 10000MM X 100MM</t>
  </si>
  <si>
    <t>LMMBRB1838 - Bush Reducer 1/8" x 3/8" Brass</t>
  </si>
  <si>
    <t>LMMBRR1218 - Reducer 1/2" x 1/8" BRASS</t>
  </si>
  <si>
    <t>LGMPIC0018 - Push in Connector QS-1/2"x12mm</t>
  </si>
  <si>
    <t>LFMMSP6060 - M.S. Square Pipe 60x60x3mmx5.5mtr</t>
  </si>
  <si>
    <t>LMMPC00102 - Pneumatic Push in Connector - 1/4 x 10mm/153007</t>
  </si>
  <si>
    <t>LCTMMPFL128 - Pneumatic Push in Connector L thread type 1/2"X8MM</t>
  </si>
  <si>
    <t>LMMBRB1258 - Bush Reducer  1/2" x 5/8" Brass</t>
  </si>
  <si>
    <t>LEMME00363 - Metal Enclosure-3ways-810304</t>
  </si>
  <si>
    <t>LMMBRB1214 - Reducer Bush 1/2" x 1/4" BRASS</t>
  </si>
  <si>
    <t>LMMGIE0036 - Hose Nipple 3/4" G.I.</t>
  </si>
  <si>
    <t>LTLTAPS016 - Tap Set M16X2.0 HSS</t>
  </si>
  <si>
    <t>LMMGIR0134 - Reducer 1" x 3/4" G.I.</t>
  </si>
  <si>
    <t xml:space="preserve">LMMNR00367 - Nylon Rod 40mm x 1 Mtr </t>
  </si>
  <si>
    <t>LGMPIC0014 - Push in Connector 1/4x8" (S)</t>
  </si>
  <si>
    <t xml:space="preserve">LMMBRHON34 - Hose Nipple 3/4" Brass </t>
  </si>
  <si>
    <t>LEMMB00036 - MCB 32A-Metal Plug &amp; Sucket Box</t>
  </si>
  <si>
    <t>LMMGIHN012 - Hex. Nipple 1/2" G.I.</t>
  </si>
  <si>
    <t>LMMHP00385 - Pneumatic Air Hose 4mm</t>
  </si>
  <si>
    <t>LMMBRB1438 - Bush Reducer 1/4" x 3/8" Brass</t>
  </si>
  <si>
    <t>LMMGIR1234 - Reducer 3/4" x 1/2" G.I.</t>
  </si>
  <si>
    <t>LTLTAPS012 - Tap Set M12X1.75 HSS</t>
  </si>
  <si>
    <t>LMMGIRB112 - Reducer Bush 1" x 1/2" G.I.</t>
  </si>
  <si>
    <t>LGMBTAP012 - Brass Tap 1/2"</t>
  </si>
  <si>
    <t>IMMKSBCIR8 - Circlip,TAB:31,P.No:932.01; Type:ETN 065-050-250 GG CP,Make:KSB</t>
  </si>
  <si>
    <t>LTLDRILB14 - Drill Bit 14.0mm HSS</t>
  </si>
  <si>
    <t>LTLDRTS018 - Drill Bit 18.0mm  TAPER SHANK HSS</t>
  </si>
  <si>
    <t>LMMGIRE112 - Reducer 1" x 1/2" G.I.</t>
  </si>
  <si>
    <t>LGMPLOCK08 - Pad Locks - 8 Lever</t>
  </si>
  <si>
    <t>LGMWI00156 - Wirenails 3"</t>
  </si>
  <si>
    <t>LMMBSBV034 - Ball Valve Brass 3/4"</t>
  </si>
  <si>
    <t>LBG2RS6009 - Bearing 6009 - 2RS  Ball Bearing</t>
  </si>
  <si>
    <t>LMMNR00365 - Nylon Rod 30mm x 1 Mtr</t>
  </si>
  <si>
    <t xml:space="preserve">LMMBRB3812 - Bush Reducer 3/8"  x 1/2" Brass </t>
  </si>
  <si>
    <t xml:space="preserve">LTLDRIB015 - Drill Bit 15mm </t>
  </si>
  <si>
    <t>LTLTAPSM08 - Tap Set M8 x 1.25mm HSS</t>
  </si>
  <si>
    <t>LOS0045628 - Seal Ring FB45 x 62 x 8 / 45 x 62 x 10</t>
  </si>
  <si>
    <t>LMMGIHN038 - Hex. Nipple 3/8" GI</t>
  </si>
  <si>
    <t>LMMNOZ116 - Gas Cutting Nozzles 1/16, Type-A (for Acetylene)</t>
  </si>
  <si>
    <t>LMMSPOTWSP12 - Spot Wash 1/2" CROME PLATED</t>
  </si>
  <si>
    <t>LEMWF00572 - Water Filter Cartridge for Aqua</t>
  </si>
  <si>
    <t>LMMGINIP34 - Nipple 3/4" G.I.</t>
  </si>
  <si>
    <t>LTLDRLB012 - Drill Bit 12 mm HSS</t>
  </si>
  <si>
    <t>LMMGIHON114 - Hose Nipple 114" G.I.</t>
  </si>
  <si>
    <t>LMMWELET12 - 1/2" WELDOLET</t>
  </si>
  <si>
    <t>LMMMSE0035 - Barrel Nipple 3/4" M.S.</t>
  </si>
  <si>
    <t>LTLTAPS005 - Tap Set M5X0.80 HSS</t>
  </si>
  <si>
    <t>LMMGIRB012 - Reducer Bush 11/2" x 1/2" G.I.</t>
  </si>
  <si>
    <t>LTLWCUTT10 - White Cutting Tool 10x10x200mm,STS</t>
  </si>
  <si>
    <t>LMMPCL1406 - Pneumatic Push in Connector L-Type 1/4"x6mm</t>
  </si>
  <si>
    <t>LMMGIN0112 - Hex. Nipple 11/2" G.I.</t>
  </si>
  <si>
    <t>LGMBTAP034 - Brass Tap 3/4"</t>
  </si>
  <si>
    <t>LHTWCT0088 - White Cutting Tools 8X8X200MM,STS</t>
  </si>
  <si>
    <t xml:space="preserve">LEMMB00049 - MCB 16A-SINGLE POLE </t>
  </si>
  <si>
    <t>LMMGIU0034 - Union 3/4" G.I.</t>
  </si>
  <si>
    <t>LTLDRLB011 - Drill Bit 11 mm</t>
  </si>
  <si>
    <t>LMMGIS0034 - Socket 3/4" G.I.</t>
  </si>
  <si>
    <t>LMMWG00214 - Safety Goggles Black</t>
  </si>
  <si>
    <t>ISPPOL6488 - Pneumatic Air Joint 16mm-153036</t>
  </si>
  <si>
    <t>LEMMB00037 - MCB Metal Plug &amp; Sucket Plug-810307</t>
  </si>
  <si>
    <t>LEMME00362 - Metal Enclosure-2ways-810303</t>
  </si>
  <si>
    <t>LMMGIDPL12 - Plug 1/2" G.I.</t>
  </si>
  <si>
    <t>LMMUNION12 - Union 1/2" G,I,</t>
  </si>
  <si>
    <t>LGMHW00057 - HAND WASH LIQUID</t>
  </si>
  <si>
    <t>LMMFCPIP12 - Flexible Connector 1/2"</t>
  </si>
  <si>
    <t>LGMPIC0021 - Pneumatic Push in Connector 8X8mm Straight</t>
  </si>
  <si>
    <t>LTLDRILLB08 - Drill Bit 8.0mm HSS</t>
  </si>
  <si>
    <t>LBNHB10120 - GI Stud Bolt(HILTI BOLT)M10x120</t>
  </si>
  <si>
    <t>LMMGD00325 - Grinding Disc 7"</t>
  </si>
  <si>
    <t>LMMWFHOS34 - Flexible Water Hose Pipe 3/4"</t>
  </si>
  <si>
    <t>LGMGIHCM03 - Hose Clamp 3" (H/D)</t>
  </si>
  <si>
    <t>LMMGISNO12 - Socket 1/2" G.I.</t>
  </si>
  <si>
    <t>LTLDRIB006 - Drill Bit 6.0mm HSS</t>
  </si>
  <si>
    <t>LTLDRIB007 - Drill Bit 7.0 mm  HSS</t>
  </si>
  <si>
    <t>LTLDRIB005 - Drill Bit 5.0mm HSS</t>
  </si>
  <si>
    <t>LBNGHB1030 - BOLT HEX GI M10x30</t>
  </si>
  <si>
    <t>LMMGIT0012 - Tee 1/2x1/2x1/2" GI</t>
  </si>
  <si>
    <t>LGMPAINTB3 - Painting Brush 3"</t>
  </si>
  <si>
    <t>LMMWG00489 - Welding Glass  Black</t>
  </si>
  <si>
    <t>LTLDRIB004 - Drill Bit 4mm HSS</t>
  </si>
  <si>
    <t>LMMGIT1112 - Tee 1x1/2x1" GI</t>
  </si>
  <si>
    <t>LTLDRIB043 - Drill Bit 4.3mm HSS</t>
  </si>
  <si>
    <t>LMMWG00490 - Welding Glass  White</t>
  </si>
  <si>
    <t>LMMGIT0001 - Tee-1x1x1" GI</t>
  </si>
  <si>
    <t xml:space="preserve">LTLHTLM008 - Bit Tool 6x6x200mm HSS </t>
  </si>
  <si>
    <t xml:space="preserve">LBNMGS0815 - SCREW GRUB M8x15 </t>
  </si>
  <si>
    <t>LMMHDPC125 - MDPE E-COUPLER ID-125MM</t>
  </si>
  <si>
    <t>STORENRGPITEM - EMPTY 6KG OXYGEN CYLINDER</t>
  </si>
  <si>
    <t>STORENRGPITEM - Empty Rubber Tank (1000 Ltrs)</t>
  </si>
  <si>
    <t>STORENRGPITEM - WIRE ROPE (OLD) 12MTR</t>
  </si>
  <si>
    <t>IMMCP32200 - Centrifugal Pump TCT 32-200/1-B/RA/L6,Q:20M3/H,H:40M,MAKE:POMPE TRAVAINI</t>
  </si>
  <si>
    <t>LGMCHAINB2 - Chain Block 2 Tone Capacity</t>
  </si>
  <si>
    <t>ISODSBSCL6521 - 652/12 Single crank link, CODE:OPS</t>
  </si>
  <si>
    <t>LPMSP60PL - SPIDER 60 DIA PLAIN</t>
  </si>
  <si>
    <t>LMMCS00034 - Rubber Spider L110</t>
  </si>
  <si>
    <t>ISPSOR5108 - Head-I31000 (Ptinter Head)</t>
  </si>
  <si>
    <t>ISPSOR5196 - Plunger Assembly 51300105/ 5S300105</t>
  </si>
  <si>
    <t>ISPSOR5264 - Solenoid Valve -CMA+0000284</t>
  </si>
  <si>
    <t>ISPSOR5218 - RECHARGEABLE PENS D.5 WITH TIP 6MM-I30002</t>
  </si>
  <si>
    <t>ISPSOR5340 - Wheel DMA+0000391,TAV-5,RIF-22</t>
  </si>
  <si>
    <t>ISPSOR5263 - Solenoid Valve -CMA+0000268</t>
  </si>
  <si>
    <t>ISPSOR5342 - Wheel Roller CMA+0000395,TAV-2,RIF-37</t>
  </si>
  <si>
    <t>ISPSOR5341 - Wheel Roller CMA+0000394,TAV-10,RIF-2</t>
  </si>
  <si>
    <t>ISPSOR5044 - Cylinder - CMA+0002132,TAV-9,RIF-24</t>
  </si>
  <si>
    <t>ISPSOR5153 - Megadyne Timing Belt Polyurethene M32AT10</t>
  </si>
  <si>
    <t>LBG0UCP206 - Bearing UCP - 206/ SY30TF Insert Ball Bearing with Housing</t>
  </si>
  <si>
    <t>LMMSC00427 - Chain Simplex 1/2 "</t>
  </si>
  <si>
    <t>LBTV00B128 - Belt V B128</t>
  </si>
  <si>
    <t>LBTV00B124 - Belt V - B124</t>
  </si>
  <si>
    <t>LPSTNBS001 - Note Book Short (100P)</t>
  </si>
  <si>
    <t>LEMES00689 - Photo Electric Switch- E32-TC200</t>
  </si>
  <si>
    <t>ISPGL03488 - PULLEY 1B-170,BORE DIA-30MM (8PU1B17030)</t>
  </si>
  <si>
    <t>ISPSOR5252 - Silencer -CMA+0000270</t>
  </si>
  <si>
    <t>ISPSOR5257 - Slider(CURSOR) CMA+0000052,TAV-5,RIF-7</t>
  </si>
  <si>
    <t>LMMMG01051 - DOWEL PIN 6X50MM</t>
  </si>
  <si>
    <t>LGMBS00011 - BAYGON SPRAY/MUSQUITO - CUPBOARD</t>
  </si>
  <si>
    <t>LSPSOR5275 - TENSILE SPRING (TENSION SPRING) OD-12MM,LEN-30MM,WIRE DIA-1.5MM</t>
  </si>
  <si>
    <t>LPSTCAPA01 - Carbon Paper Single side</t>
  </si>
  <si>
    <t>ISPPOL6577 - Rubber Spider HRC 90</t>
  </si>
  <si>
    <t>LGMMF00079 - MORNING FRESH 1LTR</t>
  </si>
  <si>
    <t>LBNGB01040 - BOLT HEX GI M10x40</t>
  </si>
  <si>
    <t>LBTV00C212 - Belt V C212</t>
  </si>
  <si>
    <t>LGMU001381 - Umbrella</t>
  </si>
  <si>
    <t>ISPSHP0058 - Impeller for Main Blower YGM95</t>
  </si>
  <si>
    <t>ISPSHGSD5602 - Roller assembly, Diagram:3,NO:2, MODEL:GSD56</t>
  </si>
  <si>
    <t>IASHYDJACK50 - 50TON SINGLE ACTING HYDRAULIC JACK WITH MANUAL HYDRAULIC HAND PUMP (TRAVEL-150MM CLOSED,HEIGHT-300MM</t>
  </si>
  <si>
    <t>IMSPCRU009 - Fixed Jaw for JC46</t>
  </si>
  <si>
    <t>ISPSHGSD5623 - SCALE BOARD DIAGRAM-3,NO-6,MODEL:GSD56</t>
  </si>
  <si>
    <t>ISPSHGSD5643 - Pulley for Reduction box, GSD56</t>
  </si>
  <si>
    <t>IMSPCRU008 - Moving Jaw for JC46</t>
  </si>
  <si>
    <t>ISPSHGSD5628 - Base plate for Shovel seat,Diagram:3,Model:GSD56</t>
  </si>
  <si>
    <t>ISPSHPGSD002 - Shovel seat GSD 56</t>
  </si>
  <si>
    <t>ISPSHP0084 - Shovel Seat Big TGM130</t>
  </si>
  <si>
    <t>IMMGREDR67 - Gear reducer,Model:R67-Y100M4-0,Ratio:28.83,2.2KW,1400Rpm,Make:Qiangzhu,S.No:01612087624-4-1</t>
  </si>
  <si>
    <t>LBNHB24200 - Bolt HT M24x200 FULL THREAD 10.8 GR</t>
  </si>
  <si>
    <t>LBG0UCP209 - Bearing UCP - 209/ SY45TF Insert Ball Bearing with Housing</t>
  </si>
  <si>
    <t>LBTV00C129 - Belt V C129</t>
  </si>
  <si>
    <t>ISPSHGSD5630 - Air duct guard,Diagram:3,Model:GSD56</t>
  </si>
  <si>
    <t>LMMCR88235 - Conveyor Roller  - Dia 88x235mm</t>
  </si>
  <si>
    <t>ISPSHROL60 - Belt Guide Roller D60/15 M14-314008zbt200</t>
  </si>
  <si>
    <t>ISPSHP0024 - Blower Driven Pulley C Section 6 Groove  TGM130</t>
  </si>
  <si>
    <t>LBG0032320 - Bearing 32320 Taper Roller Bearing</t>
  </si>
  <si>
    <t>ISPSHP0023 - Blower Drive Motor Pulley C Sec 6 Groove TGM130</t>
  </si>
  <si>
    <t xml:space="preserve">ISPSHP0037 - Dust Collector Cloth Bags   YGM95 &amp; TGM130 </t>
  </si>
  <si>
    <t>ISPSHPBOTB - Cover for Roller Bottom Bearing   TGM130</t>
  </si>
  <si>
    <t>LBGTR32312 - Bearing 32312 Taper Roller Bearing</t>
  </si>
  <si>
    <t>LBTV00B220 - Belt V B220</t>
  </si>
  <si>
    <t>LBTV00C130 - Belt V C130</t>
  </si>
  <si>
    <t>ISPSH01479 - Roller D50/12 White Glavanized-L675 T655 A675,306060.ZB.M8</t>
  </si>
  <si>
    <t>ISPSHP0061 - MainMill Adjustment Bolt and Nut TGM130</t>
  </si>
  <si>
    <t>LBNHTNUT24 - NUT HT M24</t>
  </si>
  <si>
    <t>LMMSS00448 - Sprocket Simplex  1" x 18 Teeth</t>
  </si>
  <si>
    <t>LBNGB01660 - BOLT HEX GI M16x60</t>
  </si>
  <si>
    <t>LBNHAM2480 - HT Allen Bolt M24x80</t>
  </si>
  <si>
    <t>LBNGB12100 - BOLT HEX GI M12x100</t>
  </si>
  <si>
    <t xml:space="preserve">LBNGB01680 - BOLT HEX GI M16x80 </t>
  </si>
  <si>
    <t>LBTV000B90 - Belt V B90</t>
  </si>
  <si>
    <t>LBNHAB1660 - ALLEN BOLT HT M16x60</t>
  </si>
  <si>
    <t>ISPSHGSD5605 - Skeleton type rubber oil seal PD90x120x12, HG4-692-67</t>
  </si>
  <si>
    <t>LBNGINUT20 - Nut GI M20</t>
  </si>
  <si>
    <t xml:space="preserve">LGMWN00148 - White Nose Mask </t>
  </si>
  <si>
    <t>LBNMSWAM12 - WASHER MS M12</t>
  </si>
  <si>
    <t xml:space="preserve">LBNGHB1270 - BOLT HEX GI M12x70 </t>
  </si>
  <si>
    <t>LBNSSNUT10 - NUT SS M12</t>
  </si>
  <si>
    <t>LBNHTB1260 - BOLT ALLEN HT  M12x60</t>
  </si>
  <si>
    <t>LBNGB01240 - BOLT HEX GI M12X40</t>
  </si>
  <si>
    <t>LBNMSSPW20 - SPRING WASHER MS M20</t>
  </si>
  <si>
    <t>LBNGB00860 - BOLT HEX GI M8x60</t>
  </si>
  <si>
    <t>LBNSSSPW10 - SPRING WASHER SS M10</t>
  </si>
  <si>
    <t xml:space="preserve">LBNGB00850 - BOLT HEX GI M8x50 </t>
  </si>
  <si>
    <t>LBNGWAS014 - Washer GI M14</t>
  </si>
  <si>
    <t>LBNSSSWA08 - SPRING WASHER SS M8</t>
  </si>
  <si>
    <t xml:space="preserve">LBNGIWAS10 - WASHER GI M10 </t>
  </si>
  <si>
    <t>LBNMSSPR12 - SPRING WASHER MS M12</t>
  </si>
  <si>
    <t>ISPGLDM762 - DIMATIX -MC-print head SG1024-MC,8QA800762</t>
  </si>
  <si>
    <t>LTRGMFE152 - Fiber Glass Transparant sheet 8mm - 1220x2440x8mm</t>
  </si>
  <si>
    <t>ISPGL03814 - Glaze Pipe MT.5/stainless Steel Insert-24.10.153-</t>
  </si>
  <si>
    <t>ISPGLPFILT - FILTER - G450167,TAV-F,POS-3 (8QG450167, A600186, 10um)</t>
  </si>
  <si>
    <t>ISPGL03697 - SUCTION DELIVERY HOUSING-75.00.007</t>
  </si>
  <si>
    <t>ISPGL03355 - Pulley 1C-230mm, Hole 50mm 8PU1C23050</t>
  </si>
  <si>
    <t>LBG2RS6308 - Bearing 6308 - 2RS Ball Bearing</t>
  </si>
  <si>
    <t>ISPGL03181 - DISC PACK (GLAZE DISC)-8PAF0001</t>
  </si>
  <si>
    <t>IBTT501900 - Belt 967000184/T5-1900-20-3MM</t>
  </si>
  <si>
    <t>ISPGL03571 - Scrapper Disk 8DF50150401,TAV-370.4/A,POS-13</t>
  </si>
  <si>
    <t>LMMDP50207 - SHAFT SEAL,50-207,POS-5</t>
  </si>
  <si>
    <t>ISPGL03578 - Screw Propeller 8EC00823</t>
  </si>
  <si>
    <t>ISPGLG1200 - Green Pvc Guide 40x10 1200MM</t>
  </si>
  <si>
    <t>ISPGL03226 - Finger Guard for Pulley Dia170mm Sec-C  8SA201522</t>
  </si>
  <si>
    <t>ISPGL03712 - T Bolt Section -C 8PF201115</t>
  </si>
  <si>
    <t xml:space="preserve">LBNGB00640 - BOLT HEX GI M6x40 </t>
  </si>
  <si>
    <t xml:space="preserve">LOS0032628 - Oil Seal 32 x 62 x 8 </t>
  </si>
  <si>
    <t>LBNGB01080 - BOLT HEX GI M10X80</t>
  </si>
  <si>
    <t>LMMDPSG130 - O RING,G112,POS-6</t>
  </si>
  <si>
    <t>LMMMS00345 - M Seal-100grams</t>
  </si>
  <si>
    <t xml:space="preserve">LBNGHB0615 - Bolt GI  M6x15 </t>
  </si>
  <si>
    <t>LMMREGEAR1 - Reduction Gear 03115430,Tav-0001,pos-08</t>
  </si>
  <si>
    <t>ISPSHCOUPL - COUPLER - 02102229,TAV-1266.003,POS-43</t>
  </si>
  <si>
    <t>LEMWMCW003 - copper winding wire 17.5 SWG</t>
  </si>
  <si>
    <t>ISPSH517025 - SPROCKET-ATM06517025 FOR ATM65,CAT-001AD005A,TAB-5297.C,FIG-4</t>
  </si>
  <si>
    <t>ISPSH01412 - V Belt E441 / E11300</t>
  </si>
  <si>
    <t>ISPSH01273 - Plastic Elevator Bucket-C01900108</t>
  </si>
  <si>
    <t>ISPSHPB157 - Cylinder, TAV-1597.C01,POS-27</t>
  </si>
  <si>
    <t>ISPSHBWDY22 - Gear Reducer with motor, Type:BWD2-23-Y2.2-415V, Make:Cycloidal Reducer, No.02160906613</t>
  </si>
  <si>
    <t>LEMTM00829 - MCCB 400A / 3pole (ABB)</t>
  </si>
  <si>
    <t>ISPSH01281 - TIGHTENER C06900106</t>
  </si>
  <si>
    <t>ISPSH01274 - Plate ATM 05225007</t>
  </si>
  <si>
    <t>IMMSPC4606 - CI PULLEY,SPC460-6G PIVOT BORE SOLID HUB</t>
  </si>
  <si>
    <t>ISPSH01223 - Kit-G03000135</t>
  </si>
  <si>
    <t>ISPSH17133 - PIPE,ATM06517133,FIG-3,TAB-5297.7,CAT NO-001A</t>
  </si>
  <si>
    <t>LEMWMCW004 - copper winding wire 18.0 SWG</t>
  </si>
  <si>
    <t>ISPSH01090 - Cover PPB3001007/TAV-0498.A/POS-6</t>
  </si>
  <si>
    <t>ISPSH55240 - CONNECTOR,05755240,TAV-1597.C01,POS-14</t>
  </si>
  <si>
    <t>LBDMCEM050 - CEMENT (50 Kgs)</t>
  </si>
  <si>
    <t>LBG00UC209 - Bearing YAR - 209 - 2F/ UC - 209 Insert Ball Bearing</t>
  </si>
  <si>
    <t>ISPSH50105 - Filter, TAV-1597.G01,POS-26, 05750105</t>
  </si>
  <si>
    <t>ISPPC02552 - Gasket 05010133</t>
  </si>
  <si>
    <t>ISPSH01434 - Worm Screw 6500504</t>
  </si>
  <si>
    <t>LEMCB00023 - MPCB 27-32A-3RV2021-4EA10</t>
  </si>
  <si>
    <t>LEMC100602 - Compressor 1HP for AC</t>
  </si>
  <si>
    <t>LEMLM00235 - L&amp;T MNX 185 Contactor Kit -CS94156</t>
  </si>
  <si>
    <t xml:space="preserve">ISPSH01433 - WORM SCREW - 06500505 </t>
  </si>
  <si>
    <t>LBTSPC4000 - Belt V SPC - 4000/ SPCX4000/ XPC4000</t>
  </si>
  <si>
    <t>ISPSH01249 - Nozzle 3 mm Dia ATM3504020R</t>
  </si>
  <si>
    <t>LBTVSPB4250 - Belt V SPB4250/ SPBX4250/ XPB4250</t>
  </si>
  <si>
    <t>ISPPR01979 - Pocket 05220018, FIG-NO-142,TAB-NO-3060.A04</t>
  </si>
  <si>
    <t>ISPSHV2080 - Valve 05572080,TAV-1597.C01,POS-15</t>
  </si>
  <si>
    <t>ISPSH01393 - Terminal/ Clamp-05182116,CAT-010AM017A,TAB-0599.CO1,FIG-13</t>
  </si>
  <si>
    <t>LMMSS00454 - Sprocket Simplex  3/4" x 17 Teeth</t>
  </si>
  <si>
    <t>ISPSH01266 - Pin-PPB01055/TAV-0498.A/POS-4</t>
  </si>
  <si>
    <t>LBGCNU2308 - Bearing NU 2308 ECP Cylindrical Roller Bearing</t>
  </si>
  <si>
    <t>ISPSH012481 - Nozzle 2.8 mm ATM3504020N</t>
  </si>
  <si>
    <t>ISPPR01157 - Body 06500508</t>
  </si>
  <si>
    <t>ISPSH01189 - Gauge 05738035</t>
  </si>
  <si>
    <t>LMMSS00455 - Sprocket Simplex  3/4" x 36 Teeth</t>
  </si>
  <si>
    <t>LMMNR00369 - Nylon Rod 60mm x 1 Mtr</t>
  </si>
  <si>
    <t>LBGTRNU313 - Bearing NU 313 ECP Cylindrical Roller Bearing</t>
  </si>
  <si>
    <t>LEMCKIT1055 - CONTACTOR KIT - 3RT1055-6A,MAKE:SIEMENS(FOR CONTACTOR 3RT1055)</t>
  </si>
  <si>
    <t>LMMMG01069 - NYLON ROD 50MMX1MTR</t>
  </si>
  <si>
    <t>LMMDC00259 - Sprocket Duplex  3/4" X 27 Teeth</t>
  </si>
  <si>
    <t>LMMCSS3425 - SPROCKET 3/4"x25TEETH SIMPLEX</t>
  </si>
  <si>
    <t>IEMCAB0046 - 4Cx6SQMM FLEXIBLE COPPER CABLE</t>
  </si>
  <si>
    <t xml:space="preserve">LMMSSBV112 - Ball Valve 11/2" S.S. </t>
  </si>
  <si>
    <t>LBNHTA2060 - ALLEN BOLT HT M20x60</t>
  </si>
  <si>
    <t>ISPGL03691 - Steel Shower Pipe (Short)-3/4"x29cm</t>
  </si>
  <si>
    <t>LMMDC00258 - Sprocket Duplex  3/4" X 23 Teeth</t>
  </si>
  <si>
    <t>ISPSH01275 - Plate ATM 3504017</t>
  </si>
  <si>
    <t>ISPPOL6795 - Connecting Sleeve  KD356F-03A  200257266</t>
  </si>
  <si>
    <t>ISPSH01172 - GASKET - 5182115,CAT-010AM017A,TAB-0599.CO1,FIG-12</t>
  </si>
  <si>
    <t>ISPSH12103 - Spring 06012103,TAV-1239.003,POS-67</t>
  </si>
  <si>
    <t>LBNMSAB890 - Bolt Allen GI M8x80</t>
  </si>
  <si>
    <t>LBNGB10100 - BOLT HEX GI M10x100</t>
  </si>
  <si>
    <t xml:space="preserve">ISPSH01363 - SPRING - PPB01051 </t>
  </si>
  <si>
    <t>LBNSSA0861 - BOLT ALLEN SS M8x80</t>
  </si>
  <si>
    <t xml:space="preserve">ISPKL04149 - FILTER ELEMENT (GASKET)-CC30990012 </t>
  </si>
  <si>
    <t>IELCYFUSE50A - CYLINDERIC FUSE 50A</t>
  </si>
  <si>
    <t>LBNHTA1030 - Bolt Allen HT M10X30</t>
  </si>
  <si>
    <t>ISPSH01184 - Gasket-5008069-CRS002</t>
  </si>
  <si>
    <t xml:space="preserve">LBNGB00830 - BOLT HEX GI M8x30 </t>
  </si>
  <si>
    <t>LEMBP00284 - BULB 60 WATTS / 40W / 25W-Pin Type</t>
  </si>
  <si>
    <t>ISPPOL6105 - Circlip For Hole - GB/T893.1-1986</t>
  </si>
  <si>
    <t>ISPPR01037 - 30x60 Upper Back Side Isostatic Punches,Dimension:47x324.54x642.84 mm,WITH RESIN COATING POWDER SAVING PATTERN,ROYAL LOGO,ARROW MARK AND NUMBERING (A,B,C,D...1,2,3,4)</t>
  </si>
  <si>
    <t>ISPPR01081 - 60x60 Upper Back Side Isostatic Punches with Resin coating,47x642.8x642.8 mm,POWDER SAVING PATTERN,ROYAL LOGO,ARROW MARK AND NUMBERING (A,B...1,2,)</t>
  </si>
  <si>
    <t>ISPPR01076 - 60x60 Lower/ Fine Side Puncheswith Resin coating,Dimension:37x641.64x641.64 mm</t>
  </si>
  <si>
    <t>ISPPR01036 - 30x60 Lower/Fine Side Punches,Dimension:37x323.25x641.64 mm WITH RESIN COATING</t>
  </si>
  <si>
    <t>ISPPR24185 - SCREW,06024185,FIG-18,CAT-014AL397A 5000L,TAB-0618</t>
  </si>
  <si>
    <t>ISPPR01676 - Interface Module- 6ES7-151-1AA05-0AB0</t>
  </si>
  <si>
    <t>ISPPR02538 - Gasket 5001738,FIG-NO-4,TAB-NO-1198.C01</t>
  </si>
  <si>
    <t>ISPPR01615 - Sealant-06626151, TAB:0707.001, FIG:34, CAT:014AD030A (PH1000)</t>
  </si>
  <si>
    <t>ISPPR02281 - Solenoid Valve-05580215</t>
  </si>
  <si>
    <t>ISPPR02019 - Pulley - ACD - 92208009</t>
  </si>
  <si>
    <t>LEMBRK80B4 - Brake KIT (STUD,NUT,SPRING) for Brake Motor MGM, BA 80B4/ELF013</t>
  </si>
  <si>
    <t>LMMHP00334 - Hose Pipe for Cooking Gas (LPG Gas)</t>
  </si>
  <si>
    <t>LEMBC00281 - BRAKE COIL FOR MGM BA 80B4 400V</t>
  </si>
  <si>
    <t>ISPPR02012 - Pressure Transducer-4400527</t>
  </si>
  <si>
    <t>ISPPR24149 - SCREW,06024149,FIG-78,TAB-3060.A04</t>
  </si>
  <si>
    <t>ISPRM25331 - Gasket 05001734-CRS002BB,FIG-NO-23,TAB-NO-1198.C01</t>
  </si>
  <si>
    <t>ISPPRC2600 - O Ring/ Gasket 05008012,FIG-NO-22,TAB-NO-3060.A04</t>
  </si>
  <si>
    <t>ISPPR01909 - Pipe (Metal End Fitting)-05212586</t>
  </si>
  <si>
    <t>ISPPR01969 - Plug-5136059</t>
  </si>
  <si>
    <t>ISPPR02546 - Gasket 5008146</t>
  </si>
  <si>
    <t>ISPPRPLUG2 - PLUG 05136058 /5136077 FIG 4 TAB NO 2712.015</t>
  </si>
  <si>
    <t>ISPPR01238 - Cable PH20187923</t>
  </si>
  <si>
    <t>LMMGD00324 - Grinding Disc 4"</t>
  </si>
  <si>
    <t>ISPPR01965 - Plug 5136050</t>
  </si>
  <si>
    <t>LMMCD00237 - Cutting Disc 4"/ Cutting Disc 41/2"</t>
  </si>
  <si>
    <t>ISPPR01958 - Plug - 5136055/ FIG NO-26, TAB-NO-1196.AO9</t>
  </si>
  <si>
    <t>LMMGBUFPAD - GRINDER BUFFERING WHEEL PAD OD-125MMXID-22MM</t>
  </si>
  <si>
    <t>ISPPR02493 - Transparent P.U Hose Pipe 6600009</t>
  </si>
  <si>
    <t>ISPPR01489 - Fitting T- Type -5086072</t>
  </si>
  <si>
    <t>LMMGIF0002 - Flange 2" G.I.</t>
  </si>
  <si>
    <t>LBNHNUT030 - NUT MS M30</t>
  </si>
  <si>
    <t xml:space="preserve">ISPPR01957 - Plug - 5136053/ 5136070 </t>
  </si>
  <si>
    <t>ISPPR02542 - Gasket 5008073,FIG-NO-26,TAB-NO-3063.A</t>
  </si>
  <si>
    <t xml:space="preserve">LMMSI00424 - Silencer - 1/8" </t>
  </si>
  <si>
    <t>ISPPRC2561 - Gasket/ O-Ring- 5008158</t>
  </si>
  <si>
    <t>ISPPR01968 - Plug-5136054/ 5136072</t>
  </si>
  <si>
    <t>ISPRM26241 - Gasket-5008267,FIG-37,TAB-1196.A09</t>
  </si>
  <si>
    <t>ISPPR01484 - Fitting 1/8" -5086001</t>
  </si>
  <si>
    <t>ISPPRC2563 - Gasket-05008249,FIG-NO-17,TAB-NO-1198.C01</t>
  </si>
  <si>
    <t>ISPPRC2562 - Gasket-05008131,FIG-NO-18,TAB-NO-1198.C01</t>
  </si>
  <si>
    <t>LBG2RS6022 - Bearing 6022 - 2RS/C3 Ball Bearing</t>
  </si>
  <si>
    <t>ISPPOL6000 - TBSC8-04 Gear</t>
  </si>
  <si>
    <t>ISPSOR5127 - Holding Gripper Assembly 5S300106</t>
  </si>
  <si>
    <t>LEMWMCW007 - copper winding wire 19.5 SWG</t>
  </si>
  <si>
    <t>ISPPOL6905 - Belt Endless Flat 100033788   950 x 9 x 22900</t>
  </si>
  <si>
    <t>LBG00UC208 - Bearing UC - 208/ YAR - 208 Insert Ball Bearing</t>
  </si>
  <si>
    <t>LPMPOLR50 - POLYURETHANE ROD- DIA 50MM, LENGTH-1000MM</t>
  </si>
  <si>
    <t>ISPPOL6406 - Lower Drive Shaft - TBSC8A-05V10 - 200237268</t>
  </si>
  <si>
    <t>LBGUCHA203 - Bearing UCHA - 203  Insert Bearing with Housing</t>
  </si>
  <si>
    <t>LMMSV00468 - Solenoid valve 70409VEM8M000,TAV-5, POS-13</t>
  </si>
  <si>
    <t>ISPPOLM023 - REDUCER NMRV040/50-300-71B5</t>
  </si>
  <si>
    <t>ISPPOL6530 - RACK SHAFT (1) - TBSZ1C-09V10</t>
  </si>
  <si>
    <t xml:space="preserve">ISPPOL6167 - Cylinder - ESC80x40-FA -100031674 </t>
  </si>
  <si>
    <t>LBG2RS6306 - Bearing 6306 - 2RS Ball Bearing</t>
  </si>
  <si>
    <t>LBT1855100 - Belt Timing-1855 H100</t>
  </si>
  <si>
    <t>ISPPOL6533 - RACK-KO256.02-01</t>
  </si>
  <si>
    <t>LBG0YAR203 - Bearing UC 203 / YAR 203</t>
  </si>
  <si>
    <t>ISPPOLC4050 - Cylinder - ESDA-50X40-B</t>
  </si>
  <si>
    <t>ISPPOLTPOS - THREAD POST,L-83</t>
  </si>
  <si>
    <t>ISPPOL6102 - Coupling HRC 150</t>
  </si>
  <si>
    <t>ISPSORPUMP - PUMP - 560080,TAV-2,RIF-24</t>
  </si>
  <si>
    <t>ISPPOL6298 - Guide Flat Key - TBSC8A-06V10 - 200180804</t>
  </si>
  <si>
    <t>LEMTM01006 - PHOTO ELELCTRIC SENSOR E3FA DP25 OMS (E3FA0060A)</t>
  </si>
  <si>
    <t>ISPPOL6364 - Key Bar 10X12X300</t>
  </si>
  <si>
    <t>ISPPOL6165 - Cylinder - ESC 63x150-FB - 100030471</t>
  </si>
  <si>
    <t>LBGTT32019E - Bearing 32019 Taper Roller Bearing</t>
  </si>
  <si>
    <t>LBG2RS6007 - Bearing 6007 - 2RS Ball Bearing</t>
  </si>
  <si>
    <t>ISPGLSPM64 - Electromagnetism vlate,TAB:VPE09-80,POS:9, TYPE:VPE80</t>
  </si>
  <si>
    <t>LBG2RS6307 - Bearing 6307 - 2RS Ball Bearing</t>
  </si>
  <si>
    <t xml:space="preserve">LBNHB12120 - BOLT HILTI M12X125 / M12x120 </t>
  </si>
  <si>
    <t>ISPPOL6717 - Transition Wheel Shaft  - TBSY2.01-02</t>
  </si>
  <si>
    <t>LGMRHANDGL - Rubber Hand Glove</t>
  </si>
  <si>
    <t>ISPPOL6136 - Compressed Spring YA2.5x18x38.5 - 100050047</t>
  </si>
  <si>
    <t>ISPKL04220 - Ball jiont PM477-0003, TAV-7, POS-13</t>
  </si>
  <si>
    <t>ISPPOL6494 - Positioning Cover - TBSY 1.01-03 - 200011824</t>
  </si>
  <si>
    <t>ISPPOL6172 - Cylinder ESDA 50x25 B - 100038960</t>
  </si>
  <si>
    <t>ISPPOL6280 - Gear for Key - KD-236-02-06 -200000419</t>
  </si>
  <si>
    <t>LMMBR01214 - Reducer 1/2" x 1/4" BRASS</t>
  </si>
  <si>
    <t>LBNSSB8200 - BOLT HEX SS M8x20</t>
  </si>
  <si>
    <t>LBNGB16150 - BOLT HEX GI M16X150</t>
  </si>
  <si>
    <t>ISPPOL6265 - Flat Key 28X250-GB/T1096-2003</t>
  </si>
  <si>
    <t>LBNGB01440 - BOLT HEX GI M14x40</t>
  </si>
  <si>
    <t>ISPPOL6340 - Igus Bearing - GFM-2528-21 - 100006362</t>
  </si>
  <si>
    <t>LOS13016013 - Oil Seal 130 x 160 x 13/ 130 x 160 x 14</t>
  </si>
  <si>
    <t>ISPPOL6160 - Rubber spider HRC 150</t>
  </si>
  <si>
    <t>ISPPOL6369 - Key Bars-12x12mm, 1Ft Length</t>
  </si>
  <si>
    <t>LOS12015010 - Oil Seal 120 x 150 x 10/ 120 x 150 x 15</t>
  </si>
  <si>
    <t>ISPGL03035 - Allen Key Set 1-10mm</t>
  </si>
  <si>
    <t>ISPPOL6214 - Dust Proof Cover,TPS-04</t>
  </si>
  <si>
    <t>LGMPIC0008 - Pneumatic Push in Connector Fitting L-Type-1/4x12mm</t>
  </si>
  <si>
    <t>LBNMSSPR14 - SPRING WASHER MS M14</t>
  </si>
  <si>
    <t>ISPPOL6370 - Key Bars-14x14mm, 1Ft Length</t>
  </si>
  <si>
    <t>LBNHTAB1250 - BOLT ALLEN HT M12x50</t>
  </si>
  <si>
    <t>LBNGIAB520 - ALLEN BOLT GI M5x20</t>
  </si>
  <si>
    <t>ISPPOL6371 - Key Bars-16x16mm, 1Ft Length</t>
  </si>
  <si>
    <t>LTLAKEY004 - Allen Key 4mm</t>
  </si>
  <si>
    <t>LBNMSSWAS8 - SPRING WASHER MS M8</t>
  </si>
  <si>
    <t>STORENRGPITEM - Used Empty Bags</t>
  </si>
  <si>
    <t>ISPKL04536 - BELT FOR KILN-PM365-0275</t>
  </si>
  <si>
    <t>ISPKL04533 - Sponge-Take Pile,PM201-0431</t>
  </si>
  <si>
    <t>ISPPR02476 - Wheel - RK-200-13-7112,FIG-6,TAB-3.1</t>
  </si>
  <si>
    <t>ISPKL04650 - Guide PM105-0265, TAV-1,POS-11</t>
  </si>
  <si>
    <t>ISPKL04247 - MODULATING VALVE-CCT+0010064</t>
  </si>
  <si>
    <t>ISPKL04014 - Actuator Valve-LFC120ML05 T60Z/ 220-240V</t>
  </si>
  <si>
    <t>ISPKL04645 - Extruded PM073-0593,TAV-1, POS-7 SACMI</t>
  </si>
  <si>
    <t>ISPKLS0236 - Shaft PM001-0236,TAV-2.2, POS-4</t>
  </si>
  <si>
    <t>ISPKL04351 - Regulator (PM 321-0010)</t>
  </si>
  <si>
    <t>LEMTM00857 - Input Unit-CJIW-ID211 -CCT+0001016</t>
  </si>
  <si>
    <t>ISPKL04219 - Ball jiont PM477-0002, TAV-7, POS-12</t>
  </si>
  <si>
    <t>LBG2RS6213 - Bearing 6213 - 2RS  Ball Bearing</t>
  </si>
  <si>
    <t>LBTV00B330 - Belt V B 330</t>
  </si>
  <si>
    <t>ISPKL04329 - Pulley PM157-0070,TAV-2.2, POS-50</t>
  </si>
  <si>
    <t>ISPGLSSGUN - 301 SS GUN FOR GLAZE-25.40.000/25.40.100,TAV 05-50000/8,POS-4</t>
  </si>
  <si>
    <t>LBTVSPB2120 - Belt V XPB 2120/ SPB2120/ SPBX2120</t>
  </si>
  <si>
    <t>ISPKL04114 - Diamond Impregnated Wheel-0152009</t>
  </si>
  <si>
    <t>ISPPR01202 - Bush - 8903237,FIG-25,TAB NO-1</t>
  </si>
  <si>
    <t>LBTV00B167 - Belt V B167</t>
  </si>
  <si>
    <t>LBG2RS6210 - Bearing 6210 - 2RS/ C3 Ball Bearing</t>
  </si>
  <si>
    <t>LEMPCFAN55 - PVC MOTOR COOLING FAN0.55KW(ID14XOD90MM)</t>
  </si>
  <si>
    <t>LMMDP50315 - DIAPHRAGM SHAFT BUSH,50-315,POS-1</t>
  </si>
  <si>
    <t>ISPPOL6373 - Key Bars-5x5mm, 1Ft Length</t>
  </si>
  <si>
    <t>LBG2RS6004 - Bearing 6004 - 2RS Ball Bearing</t>
  </si>
  <si>
    <t xml:space="preserve">LBNCSK0615 - BOLT CSK M6x15 (GI) </t>
  </si>
  <si>
    <t>LBNGIAB820 - Bolt Allen GI M8x20</t>
  </si>
  <si>
    <t>ISPPOL6513 - Press Wheel - TBSZ-19  -200011873</t>
  </si>
  <si>
    <t xml:space="preserve">LOS0030407 - Oil Seal 30 x 40 x 7 </t>
  </si>
  <si>
    <t xml:space="preserve">LBNHTAB515 - BOLT ALLEN HT M5x15 </t>
  </si>
  <si>
    <t>LBNHAB0640 - HT Allen Bolt M6X40</t>
  </si>
  <si>
    <t>LBNGIWAS06 - WASHER GI M6</t>
  </si>
  <si>
    <t>LCOMSOS115 - Oil Seprator (Atlas Compressor)-2901162600-</t>
  </si>
  <si>
    <t>ISPKL04538 - Belt - PM365-0056</t>
  </si>
  <si>
    <t xml:space="preserve">LCOMOF0008 - Oil Filter - 1625752501/2903752501 </t>
  </si>
  <si>
    <t>LMMNR00372 - Nylon Rod 80mm x 1 Mtr</t>
  </si>
  <si>
    <t>IMMCPKSBSH - SHAFT FOR ETN 65-050-250,TAB-31,POS-210,MAKE:KSB</t>
  </si>
  <si>
    <t>LEMCO00217 - CONTACTOR 22KW/110VAC-3RT1036-1AF00</t>
  </si>
  <si>
    <t>LMMCG00235 - Gland Packing 10mm</t>
  </si>
  <si>
    <t>LEMEB00639 - Extension Box/ Extension Socket/Surge protector</t>
  </si>
  <si>
    <t>LTLCOSPA17 - Combination Spanner 17MM</t>
  </si>
  <si>
    <t>LMMNOZ0332 - Gas Cutting Nozzles 3/32, Type-A (for Acetylene)</t>
  </si>
  <si>
    <t xml:space="preserve">LOS0025408 - Oil Seal 25 x 40 x 8 / 25 x 40 x 7 </t>
  </si>
  <si>
    <t>LMMPVCS004 - Socket 4" PVC</t>
  </si>
  <si>
    <t>LBNSSA1025 - BOLT ALLEN SS M10x40</t>
  </si>
  <si>
    <t>LMMSSHN114 - Hex Nipple 11/4" S.S.</t>
  </si>
  <si>
    <t xml:space="preserve">LOS0055806 - Oil Seal 55 x 80 x 6 </t>
  </si>
  <si>
    <t>LOS0406010 - Oil Seal 40 x 60 x 10</t>
  </si>
  <si>
    <t>ISPGL03781 - Below VPE06/3</t>
  </si>
  <si>
    <t xml:space="preserve">LOS0025357 - Oil Seal 25 x 35 x 7 </t>
  </si>
  <si>
    <t>LGMPVCP034 - Plug 3/4" PVC</t>
  </si>
  <si>
    <t>LBNGIW0016 - WASHER GI M16</t>
  </si>
  <si>
    <t>STORENRGPITEM - S.S. CUP (FABRICATED)</t>
  </si>
  <si>
    <t>STORENRGPITEM - EMPTY OXYGEN CYLINDER</t>
  </si>
  <si>
    <t>STORENRGPITEM - EMPTY OXGEN CYLINDER</t>
  </si>
  <si>
    <t>STORENRGPITEM - EMPTY ACETYLENE CYLINDER</t>
  </si>
  <si>
    <t>LBNMSAB450 - BOLT ALLEN MS M4x50</t>
  </si>
  <si>
    <t>ISPSOR5295 - Strapping Machine-ITW Signode Make</t>
  </si>
  <si>
    <t>ISPSOR5326 - Top Jet Black Printing Ink -TJ901/5 ( 05-Liters )</t>
  </si>
  <si>
    <t>ISPSOR5118 - HENKEL GLUE A7814</t>
  </si>
  <si>
    <t>ISPSOR5189 - Pistol Glue Gun CMA+0001422</t>
  </si>
  <si>
    <t>ISPSOR5313 - Tank CMA+0000584 CAT.146.10.R00,TAV-21,RIF-1</t>
  </si>
  <si>
    <t>ISPSOR5269 - Solvent Cleaning TJ600-1</t>
  </si>
  <si>
    <t>ISPSORCYL2 - CYLINDER-5769441,TAV-2.1.2,RIF-2</t>
  </si>
  <si>
    <t>ISPSOR5310 - Support-DMA+0006750,TAV-10,RIF-35</t>
  </si>
  <si>
    <t>ISPSOR5214 - Pulley-DMA+0006743,TAV-10,RIF-32</t>
  </si>
  <si>
    <t>ISPSOR5300 - Suction Cup SA 5565313,TAV-3,RIF-3</t>
  </si>
  <si>
    <t>ISPSOR5077 - Galvanized Steel Roller-L816T800A834</t>
  </si>
  <si>
    <t>ISPSOR5078 - Galvenized Steel Roller-L1016T1000A1034</t>
  </si>
  <si>
    <t>ISPSOR5117 - Heating Wire Big - 37600061</t>
  </si>
  <si>
    <t>LGMWN00148 - White Nose Mask</t>
  </si>
  <si>
    <t>ISPSOR5251 - Shunting Unit-DMA+0007308,TAV-2.1.1,RIF-3</t>
  </si>
  <si>
    <t>LBG2RS6000 - Bearing 6000 - 2RS Ball Bearing</t>
  </si>
  <si>
    <t>ISPSORSV01 - SOLENOID VALVE-CMA+0000269</t>
  </si>
  <si>
    <t>LEMCL00120 - COPPER CABLE LUGS ROUND TYPE M8X25SQMM</t>
  </si>
  <si>
    <t>LMMDP00249 - Dowel Pin 3 x 30mm</t>
  </si>
  <si>
    <t>ISPSOR125009 - STRAP GUIDE FIXED PLATE S35-125009,NO-41</t>
  </si>
  <si>
    <t>ISPSOR190006 - HEATER HOLDER S23-190006-1,NO-29</t>
  </si>
  <si>
    <t>ISPSOR5521 - Pulley #170, Key-57,P.No:N13-160001-02, Model:MST-N</t>
  </si>
  <si>
    <t>ISPSOR5525 - Clutch plate (L), Key-63,P.No:N13-160009N, Model:MST-N</t>
  </si>
  <si>
    <t>ISPSOR5537 - Feed back arm, Key-87,P.No:N13-164001, Model:MST-N</t>
  </si>
  <si>
    <t>ISPSOR5541 - Spring #183, Key-93,P.No:N13-164007, Model:MST-N</t>
  </si>
  <si>
    <t>ISPSOR5554 - Guide, Key-155,P.No:N/A, Model:MST-N</t>
  </si>
  <si>
    <t>ISPSOR5559 - Spring, Key-53, P.No.-N/A,Model:MST-N</t>
  </si>
  <si>
    <t>ISPSOR5560 - Collar(A) N13-171017, Key-109,Modei:MST-N</t>
  </si>
  <si>
    <t>ISPSORGMID - Strapping guide UGH middle, 53300019</t>
  </si>
  <si>
    <t>ISPSORSGUID - Strapping guide UGH end, 53300023</t>
  </si>
  <si>
    <t>ISPKL04389 - SERVO REGULATOR-CC25120066</t>
  </si>
  <si>
    <t>LEMCO00685 - COUNTER H7ECNFV-OMRON-232233-8DIGIT 1/32DIN</t>
  </si>
  <si>
    <t xml:space="preserve">ISPPR01726 - Kit,Filler box - PH20010914 </t>
  </si>
  <si>
    <t>IEMH8GNAD1 - COUNTER,MAKE:OMRON,CODE:H8GN-AD,SUPPLY:24V AC</t>
  </si>
  <si>
    <t>LEMCB00018 - MPCB 10-16A-3RV2021-4AA10</t>
  </si>
  <si>
    <t>LEMCB02025 - MPCB 20-25A, GV2ME22</t>
  </si>
  <si>
    <t>LEMTM00927 - MPCB with Auxilary, Range 1.6-2.5A - Make schnider</t>
  </si>
  <si>
    <t>LEMLEDMIRR001 - LED MIRROR LIGHT</t>
  </si>
  <si>
    <t>LEMJB00468 - JUNCTION BOX 100x100MM 4WAY PVC</t>
  </si>
  <si>
    <t>LEMCL00117 - COPPER CABLE LUGS ROUND TYPE M12X185SQMM</t>
  </si>
  <si>
    <t>LEMSPDS423 - 13Amp-3pin Double socket 3x6</t>
  </si>
  <si>
    <t>LMMHOSCL15 - Hose Clamp 1.5"</t>
  </si>
  <si>
    <t>LEMCT00578 - Cable Tie 150mm</t>
  </si>
  <si>
    <t>LEMCL00109 - COPPER CABLE LUGS ROUND TYPE M8X10SQMM</t>
  </si>
  <si>
    <t>LEMTL00802 - Tube Light Choke 40w/ 36W</t>
  </si>
  <si>
    <t>LEMLEDSCB01 - 18W LED SCREW TYPE BULB MAKE:AKT</t>
  </si>
  <si>
    <t>LEMCT00580 - Cable Tie 250mm</t>
  </si>
  <si>
    <t>LEMBP15WPCTY - CFL PIN TYPE BULB 15W-YPZ220/15-3U-RR-MAKE-FSL</t>
  </si>
  <si>
    <t>LEMCA00773 - Capacitor - 40uf</t>
  </si>
  <si>
    <t>LEMRE00761 - RELAY - 8PIN,10A,MY21N 240ACS</t>
  </si>
  <si>
    <t>LEMSS00242 - Selector Switch 2 Position-240v AC-XB2-BD21X1</t>
  </si>
  <si>
    <t xml:space="preserve">LEMCFUSE20A - Cylindrical Fuse 20A (10X38) </t>
  </si>
  <si>
    <t>LEMFF00792 - Flourocent Fitting 4Ft</t>
  </si>
  <si>
    <t xml:space="preserve">LEMCA00787 - Capacitor 6uf </t>
  </si>
  <si>
    <t>LMMGIR0212 - Reducer 21/2" x 11/4"  G.I.</t>
  </si>
  <si>
    <t>ISPSOR5155 - Micro Switch Light - 34700026</t>
  </si>
  <si>
    <t>LMMGIR2121 - Reducer 21/2" x 1" G.I.</t>
  </si>
  <si>
    <t>LEMLHS0354 - Lamp Holder Screw Type</t>
  </si>
  <si>
    <t>ISPSHFCF10 - GLASS FUSE 10A</t>
  </si>
  <si>
    <t xml:space="preserve">LBNGB01220 - BOLT HEX GI M12X20 </t>
  </si>
  <si>
    <t xml:space="preserve">LEMWMGSL04 - Sleeve Fiber Glass 15mm </t>
  </si>
  <si>
    <t>LEMTM00889 - 10mm Fiber Glass Sleeve</t>
  </si>
  <si>
    <t>LEMTM00899 - 20MM FIBER GLASS SLEEVE</t>
  </si>
  <si>
    <t>LEMTM00888 - 1" Fibre Glass Tape Roll</t>
  </si>
  <si>
    <t>LEMCL00094 - CABLE LUGS PIN TYPE-4SQMM</t>
  </si>
  <si>
    <t>LEMCL00125 - COPPER CABLE LUGS ROUND TYPE M8X50SQMM</t>
  </si>
  <si>
    <t>LEMCL00115 - COPPER CABLE LUGS ROUND TYPE M8X16SQMM</t>
  </si>
  <si>
    <t>LEMCB00014 - MPCB 0.7-1.0A-3RV2011-0JA10</t>
  </si>
  <si>
    <t>ISPPRM2611 - Approaching Sensor for Press Feeder</t>
  </si>
  <si>
    <t>STORENRGPITEM - OIL SAMPE</t>
  </si>
  <si>
    <t>ISPSODS013 - VOLUMETRIC PUMP,CODE-HT6311-SOD/SIL PLNT</t>
  </si>
  <si>
    <t>ISPGL03415 - NRV Brass Valve-9602060001</t>
  </si>
  <si>
    <t>LMMSP00416 - Sand Paper Roll Rough</t>
  </si>
  <si>
    <t>LGMPVCN034 - Nipple 3/4" 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</si>
</sst>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&quot;₦&quot;* #,##0.00_-;\-&quot;₦&quot;* #,##0.00_-;_-&quot;₦&quot;* &quot;-&quot;??_-;_-@_-"/>
    <numFmt numFmtId="165" formatCode="_-&quot;₦&quot;* #,##0_-;\-&quot;₦&quot;* #,##0_-;_-&quot;₦&quot;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"/>
    </font>
    <font>
      <sz val="11"/>
      <color theme="1"/>
      <name val="Calisto MT"/>
      <family val="1"/>
    </font>
    <font>
      <b/>
      <sz val="11"/>
      <color theme="1"/>
      <name val="Calisto MT"/>
      <family val="1"/>
    </font>
    <font>
      <sz val="11"/>
      <color indexed="8"/>
      <name val="Calisto MT"/>
      <family val="1"/>
    </font>
    <font>
      <b/>
      <sz val="13"/>
      <color theme="1"/>
      <name val="Calisto MT"/>
      <family val="1"/>
    </font>
    <font>
      <sz val="12"/>
      <color theme="1"/>
      <name val="Calisto MT"/>
      <family val="1"/>
    </font>
    <font>
      <b/>
      <sz val="12"/>
      <color theme="1"/>
      <name val="Calisto MT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1" xfId="0" applyFont="1" applyBorder="1" applyAlignment="1">
      <alignment horizontal="left"/>
    </xf>
    <xf numFmtId="164" fontId="0" fillId="0" borderId="0" xfId="1" applyFont="1"/>
    <xf numFmtId="0" fontId="4" fillId="0" borderId="0" xfId="0" applyFont="1"/>
    <xf numFmtId="0" fontId="4" fillId="0" borderId="0" xfId="0" applyFont="1" applyAlignment="1">
      <alignment vertical="center" wrapText="1"/>
    </xf>
    <xf numFmtId="164" fontId="4" fillId="0" borderId="0" xfId="1" applyFont="1" applyAlignment="1">
      <alignment vertical="center"/>
    </xf>
    <xf numFmtId="0" fontId="5" fillId="3" borderId="0" xfId="0" applyFont="1" applyFill="1" applyAlignment="1">
      <alignment vertical="center" wrapText="1"/>
    </xf>
    <xf numFmtId="164" fontId="5" fillId="3" borderId="0" xfId="1" applyFont="1" applyFill="1" applyAlignment="1">
      <alignment vertical="center"/>
    </xf>
    <xf numFmtId="43" fontId="6" fillId="0" borderId="0" xfId="0" applyNumberFormat="1" applyFont="1"/>
    <xf numFmtId="0" fontId="4" fillId="0" borderId="3" xfId="0" applyFont="1" applyBorder="1" applyAlignment="1">
      <alignment vertical="center" wrapText="1"/>
    </xf>
    <xf numFmtId="164" fontId="4" fillId="0" borderId="3" xfId="1" applyFont="1" applyBorder="1" applyAlignment="1">
      <alignment vertical="center"/>
    </xf>
    <xf numFmtId="164" fontId="6" fillId="0" borderId="3" xfId="1" applyFont="1" applyBorder="1" applyAlignment="1">
      <alignment vertical="center"/>
    </xf>
    <xf numFmtId="0" fontId="4" fillId="0" borderId="3" xfId="0" applyFont="1" applyBorder="1"/>
    <xf numFmtId="0" fontId="5" fillId="3" borderId="3" xfId="0" applyFont="1" applyFill="1" applyBorder="1" applyAlignment="1">
      <alignment vertical="center" wrapText="1"/>
    </xf>
    <xf numFmtId="164" fontId="5" fillId="3" borderId="3" xfId="1" applyFont="1" applyFill="1" applyBorder="1" applyAlignment="1">
      <alignment vertical="center"/>
    </xf>
    <xf numFmtId="43" fontId="6" fillId="0" borderId="3" xfId="0" applyNumberFormat="1" applyFont="1" applyBorder="1"/>
    <xf numFmtId="0" fontId="6" fillId="0" borderId="3" xfId="0" applyFont="1" applyBorder="1" applyAlignment="1">
      <alignment horizontal="left" wrapText="1" indent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164" fontId="5" fillId="0" borderId="3" xfId="1" applyFont="1" applyBorder="1" applyAlignment="1">
      <alignment horizontal="center" vertical="center"/>
    </xf>
    <xf numFmtId="0" fontId="2" fillId="0" borderId="0" xfId="0" applyFont="1" applyBorder="1"/>
    <xf numFmtId="164" fontId="2" fillId="0" borderId="0" xfId="1" applyFont="1"/>
    <xf numFmtId="164" fontId="0" fillId="0" borderId="0" xfId="0" applyNumberFormat="1"/>
    <xf numFmtId="164" fontId="4" fillId="0" borderId="0" xfId="1" applyFont="1"/>
    <xf numFmtId="164" fontId="4" fillId="0" borderId="3" xfId="1" applyFont="1" applyBorder="1"/>
    <xf numFmtId="0" fontId="5" fillId="3" borderId="3" xfId="0" applyFont="1" applyFill="1" applyBorder="1"/>
    <xf numFmtId="164" fontId="5" fillId="3" borderId="3" xfId="1" applyFont="1" applyFill="1" applyBorder="1"/>
    <xf numFmtId="164" fontId="7" fillId="0" borderId="0" xfId="1" applyFont="1"/>
    <xf numFmtId="165" fontId="7" fillId="0" borderId="0" xfId="1" applyNumberFormat="1" applyFont="1"/>
    <xf numFmtId="164" fontId="7" fillId="5" borderId="0" xfId="0" applyNumberFormat="1" applyFont="1" applyFill="1"/>
    <xf numFmtId="165" fontId="7" fillId="5" borderId="0" xfId="0" applyNumberFormat="1" applyFont="1" applyFill="1"/>
    <xf numFmtId="164" fontId="7" fillId="2" borderId="1" xfId="1" applyFont="1" applyFill="1" applyBorder="1" applyAlignment="1">
      <alignment vertical="center" wrapText="1"/>
    </xf>
    <xf numFmtId="164" fontId="7" fillId="2" borderId="1" xfId="1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8" fillId="0" borderId="0" xfId="0" applyFont="1"/>
    <xf numFmtId="0" fontId="9" fillId="2" borderId="1" xfId="0" applyFont="1" applyFill="1" applyBorder="1"/>
    <xf numFmtId="164" fontId="9" fillId="2" borderId="1" xfId="1" applyFont="1" applyFill="1" applyBorder="1"/>
    <xf numFmtId="0" fontId="9" fillId="0" borderId="1" xfId="0" applyFont="1" applyBorder="1" applyAlignment="1">
      <alignment horizontal="left"/>
    </xf>
    <xf numFmtId="164" fontId="9" fillId="0" borderId="0" xfId="1" applyFont="1"/>
    <xf numFmtId="0" fontId="9" fillId="0" borderId="0" xfId="0" applyFont="1"/>
    <xf numFmtId="164" fontId="8" fillId="0" borderId="0" xfId="1" applyFont="1"/>
    <xf numFmtId="0" fontId="9" fillId="2" borderId="2" xfId="0" applyFont="1" applyFill="1" applyBorder="1" applyAlignment="1">
      <alignment horizontal="left"/>
    </xf>
    <xf numFmtId="164" fontId="9" fillId="2" borderId="2" xfId="1" applyFont="1" applyFill="1" applyBorder="1"/>
    <xf numFmtId="9" fontId="7" fillId="0" borderId="0" xfId="2" applyFont="1"/>
    <xf numFmtId="0" fontId="4" fillId="4" borderId="0" xfId="0" applyFont="1" applyFill="1" applyAlignment="1">
      <alignment vertical="center"/>
    </xf>
    <xf numFmtId="9" fontId="0" fillId="5" borderId="0" xfId="0" applyNumberFormat="1" applyFont="1" applyFill="1"/>
    <xf numFmtId="0" fontId="8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sto MT"/>
        <family val="1"/>
        <scheme val="none"/>
      </font>
      <numFmt numFmtId="164" formatCode="_-&quot;₦&quot;* #,##0.00_-;\-&quot;₦&quot;* #,##0.00_-;_-&quot;₦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9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sto MT"/>
        <family val="1"/>
        <scheme val="none"/>
      </font>
      <numFmt numFmtId="164" formatCode="_-&quot;₦&quot;* #,##0.00_-;\-&quot;₦&quot;* #,##0.00_-;_-&quot;₦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9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sto MT"/>
        <family val="1"/>
        <scheme val="none"/>
      </font>
      <numFmt numFmtId="165" formatCode="_-&quot;₦&quot;* #,##0_-;\-&quot;₦&quot;* #,##0_-;_-&quot;₦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sto MT"/>
        <family val="1"/>
        <scheme val="none"/>
      </font>
      <numFmt numFmtId="165" formatCode="_-&quot;₦&quot;* #,##0_-;\-&quot;₦&quot;* #,##0_-;_-&quot;₦&quot;* &quot;-&quot;??_-;_-@_-"/>
      <fill>
        <patternFill patternType="solid">
          <fgColor indexed="64"/>
          <bgColor theme="9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sto MT"/>
        <family val="1"/>
        <scheme val="none"/>
      </font>
      <numFmt numFmtId="165" formatCode="_-&quot;₦&quot;* #,##0_-;\-&quot;₦&quot;* #,##0_-;_-&quot;₦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sto MT"/>
        <family val="1"/>
        <scheme val="none"/>
      </font>
      <numFmt numFmtId="165" formatCode="_-&quot;₦&quot;* #,##0_-;\-&quot;₦&quot;* #,##0_-;_-&quot;₦&quot;* &quot;-&quot;??_-;_-@_-"/>
      <fill>
        <patternFill patternType="solid">
          <fgColor indexed="64"/>
          <bgColor theme="9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sto MT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sto MT"/>
        <family val="1"/>
        <scheme val="none"/>
      </font>
      <numFmt numFmtId="164" formatCode="_-&quot;₦&quot;* #,##0.00_-;\-&quot;₦&quot;* #,##0.00_-;_-&quot;₦&quot;* &quot;-&quot;??_-;_-@_-"/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sto MT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latin typeface="Calisto MT" panose="02040603050505030304" pitchFamily="18" charset="0"/>
              </a:rPr>
              <a:t>Maintenance</a:t>
            </a:r>
            <a:r>
              <a:rPr lang="en-GB" baseline="0">
                <a:latin typeface="Calisto MT" panose="02040603050505030304" pitchFamily="18" charset="0"/>
              </a:rPr>
              <a:t> Cost Distribution </a:t>
            </a:r>
            <a:r>
              <a:rPr lang="en-GB">
                <a:latin typeface="Calisto MT" panose="02040603050505030304" pitchFamily="18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8.72338145231846E-2"/>
          <c:y val="0.17171296296296298"/>
          <c:w val="0.88498840769903764"/>
          <c:h val="0.4200390055409740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Summary!$F$3</c:f>
              <c:strCache>
                <c:ptCount val="1"/>
                <c:pt idx="0">
                  <c:v>Total Percenatge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sto MT" panose="02040603050505030304" pitchFamily="18" charset="0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Summary!$C$4:$C$14</c:f>
              <c:strCache>
                <c:ptCount val="11"/>
                <c:pt idx="0">
                  <c:v> Pulverizers </c:v>
                </c:pt>
                <c:pt idx="1">
                  <c:v> Slip House </c:v>
                </c:pt>
                <c:pt idx="2">
                  <c:v> Sorting </c:v>
                </c:pt>
                <c:pt idx="3">
                  <c:v> Glaze Line </c:v>
                </c:pt>
                <c:pt idx="4">
                  <c:v> Kiln </c:v>
                </c:pt>
                <c:pt idx="5">
                  <c:v> Polishing </c:v>
                </c:pt>
                <c:pt idx="6">
                  <c:v> Electrical Maintenance </c:v>
                </c:pt>
                <c:pt idx="7">
                  <c:v> Press </c:v>
                </c:pt>
                <c:pt idx="8">
                  <c:v> Mechanical Maintenance </c:v>
                </c:pt>
                <c:pt idx="9">
                  <c:v> Gas Generators </c:v>
                </c:pt>
                <c:pt idx="10">
                  <c:v> Sodium Silicate Plant </c:v>
                </c:pt>
              </c:strCache>
            </c:strRef>
          </c:cat>
          <c:val>
            <c:numRef>
              <c:f>Summary!$F$4:$F$14</c:f>
              <c:numCache>
                <c:formatCode>0%</c:formatCode>
                <c:ptCount val="11"/>
                <c:pt idx="0">
                  <c:v>0.1982623727361032</c:v>
                </c:pt>
                <c:pt idx="1">
                  <c:v>0.17040602272133309</c:v>
                </c:pt>
                <c:pt idx="2">
                  <c:v>0.13000042110205509</c:v>
                </c:pt>
                <c:pt idx="3">
                  <c:v>0.11977982206672612</c:v>
                </c:pt>
                <c:pt idx="4">
                  <c:v>0.11399187140545912</c:v>
                </c:pt>
                <c:pt idx="5">
                  <c:v>9.599045247351469E-2</c:v>
                </c:pt>
                <c:pt idx="6">
                  <c:v>6.5761413105737021E-2</c:v>
                </c:pt>
                <c:pt idx="7">
                  <c:v>6.0873920770407437E-2</c:v>
                </c:pt>
                <c:pt idx="8">
                  <c:v>2.2539090664710076E-2</c:v>
                </c:pt>
                <c:pt idx="9">
                  <c:v>1.2179365186549978E-2</c:v>
                </c:pt>
                <c:pt idx="10">
                  <c:v>9.3575662630970662E-3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3E-454F-865B-2452C3D4F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384159"/>
        <c:axId val="1045387487"/>
      </c:barChart>
      <c:catAx>
        <c:axId val="10453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sto MT" panose="02040603050505030304" pitchFamily="18" charset="0"/>
                <a:ea typeface="+mn-ea"/>
                <a:cs typeface="+mn-cs"/>
              </a:defRPr>
            </a:pPr>
            <a:endParaRPr lang="en-NG"/>
          </a:p>
        </c:txPr>
        <c:crossAx val="1045387487"/>
        <c:crosses val="autoZero"/>
        <c:auto val="1"/>
        <c:lblAlgn val="ctr"/>
        <c:lblOffset val="100"/>
        <c:noMultiLvlLbl val="0"/>
      </c:catAx>
      <c:valAx>
        <c:axId val="104538748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04538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762000</xdr:colOff>
      <xdr:row>1</xdr:row>
      <xdr:rowOff>148664</xdr:rowOff>
    </xdr:from>
    <xdr:to>
      <xdr:col>11</xdr:col>
      <xdr:colOff>104589</xdr:colOff>
      <xdr:row>13</xdr:row>
      <xdr:rowOff>194982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2B08CE-B91F-4A16-8C35-FE1A3DFC9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60542E-32B8-4141-91A0-8CF5562A9B57}" name="Table2" displayName="Table2" ref="C3:G17" totalsRowCount="1" dataDxfId="11" totalsRowDxfId="10" dataCellStyle="Currency">
  <sortState xmlns:xlrd2="http://schemas.microsoft.com/office/spreadsheetml/2017/richdata2" ref="C4:G16">
    <sortCondition descending="1" ref="F4:F16"/>
  </sortState>
  <tableColumns count="5">
    <tableColumn id="1" xr3:uid="{6FD81CB3-765B-48B0-9E29-3F01422D06D6}" name="Department" totalsRowLabel=" Grand Total  " dataDxfId="8" totalsRowDxfId="9" dataCellStyle="Currency"/>
    <tableColumn id="2" xr3:uid="{D5C56B0D-F87B-439E-8C0C-225F7A135F7D}" name="Rep &amp; Maint Cost" totalsRowFunction="sum" dataDxfId="6" totalsRowDxfId="7" dataCellStyle="Currency"/>
    <tableColumn id="3" xr3:uid="{19CA510F-EEA6-497B-B0A1-F479A05644A5}" name="Average Monthly Rep &amp; Maint Cost" totalsRowFunction="sum" dataDxfId="4" totalsRowDxfId="5" dataCellStyle="Currency">
      <calculatedColumnFormula>Table2[[#This Row],[Rep &amp; Maint Cost]]/3</calculatedColumnFormula>
    </tableColumn>
    <tableColumn id="4" xr3:uid="{1CEE39CD-EFB0-4490-BD8B-269936AFFD4F}" name="Total Percenatge " totalsRowFunction="sum" dataDxfId="2" totalsRowDxfId="3" dataCellStyle="Currency">
      <calculatedColumnFormula>Table2[[#This Row],[Rep &amp; Maint Cost]]/Table2[[#Totals],[Rep &amp; Maint Cost]]</calculatedColumnFormula>
    </tableColumn>
    <tableColumn id="5" xr3:uid="{C84582EB-376C-4FAC-8EC2-309F1BAC2D78}" name="Average Percentage " totalsRowFunction="sum" dataDxfId="0" totalsRowDxfId="1" dataCellStyle="Currency">
      <calculatedColumnFormula>Table2[[#This Row],[Average Monthly Rep &amp; Maint Cost]]/Table2[[#Totals],[Average Monthly Rep &amp; Maint Cost]]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211F-78B3-4584-92BE-6825302376AB}">
  <dimension ref="B3:I37"/>
  <sheetViews>
    <sheetView zoomScale="85" zoomScaleNormal="85" workbookViewId="0">
      <selection activeCell="D6" sqref="D6"/>
    </sheetView>
  </sheetViews>
  <sheetFormatPr defaultRowHeight="14.45"/>
  <cols>
    <col min="2" max="2" width="27.5703125" bestFit="1" customWidth="1"/>
    <col min="3" max="3" width="21.5703125" style="2" customWidth="1"/>
    <col min="4" max="4" width="24.140625" customWidth="1"/>
    <col min="5" max="5" width="33.42578125" customWidth="1"/>
    <col min="6" max="6" width="20.85546875" customWidth="1"/>
    <col min="7" max="7" width="22.140625" customWidth="1"/>
    <col min="8" max="8" width="27.5703125" bestFit="1" customWidth="1"/>
    <col min="9" max="9" width="21.5703125" style="2" customWidth="1"/>
    <col min="11" max="11" width="17" bestFit="1" customWidth="1"/>
  </cols>
  <sheetData>
    <row r="3" spans="2:7" ht="33">
      <c r="C3" s="33" t="s">
        <v>0</v>
      </c>
      <c r="D3" s="32" t="s">
        <v>1</v>
      </c>
      <c r="E3" s="31" t="s">
        <v>2</v>
      </c>
      <c r="F3" s="44" t="s">
        <v>3</v>
      </c>
      <c r="G3" s="44" t="s">
        <v>4</v>
      </c>
    </row>
    <row r="4" spans="2:7" ht="16.5">
      <c r="C4" s="27" t="s">
        <v>5</v>
      </c>
      <c r="D4" s="28">
        <v>230381494.78000009</v>
      </c>
      <c r="E4" s="28">
        <f>Table2[[#This Row],[Rep &amp; Maint Cost]]/3</f>
        <v>76793831.593333364</v>
      </c>
      <c r="F4" s="43">
        <f>Table2[[#This Row],[Rep &amp; Maint Cost]]/Table2[[#Totals],[Rep &amp; Maint Cost]]</f>
        <v>0.1982623727361032</v>
      </c>
      <c r="G4" s="43">
        <f>Table2[[#This Row],[Average Monthly Rep &amp; Maint Cost]]/Table2[[#Totals],[Average Monthly Rep &amp; Maint Cost]]</f>
        <v>0.19826237273610317</v>
      </c>
    </row>
    <row r="5" spans="2:7" ht="16.5">
      <c r="C5" s="27" t="s">
        <v>6</v>
      </c>
      <c r="D5" s="28">
        <v>198012329.28000009</v>
      </c>
      <c r="E5" s="28">
        <f>Table2[[#This Row],[Rep &amp; Maint Cost]]/3</f>
        <v>66004109.760000028</v>
      </c>
      <c r="F5" s="43">
        <f>Table2[[#This Row],[Rep &amp; Maint Cost]]/Table2[[#Totals],[Rep &amp; Maint Cost]]</f>
        <v>0.17040602272133309</v>
      </c>
      <c r="G5" s="43">
        <f>Table2[[#This Row],[Average Monthly Rep &amp; Maint Cost]]/Table2[[#Totals],[Average Monthly Rep &amp; Maint Cost]]</f>
        <v>0.17040602272133307</v>
      </c>
    </row>
    <row r="6" spans="2:7" ht="16.5">
      <c r="C6" s="27" t="s">
        <v>7</v>
      </c>
      <c r="D6" s="28">
        <v>151060894.31999993</v>
      </c>
      <c r="E6" s="28">
        <f>Table2[[#This Row],[Rep &amp; Maint Cost]]/3</f>
        <v>50353631.439999975</v>
      </c>
      <c r="F6" s="43">
        <f>Table2[[#This Row],[Rep &amp; Maint Cost]]/Table2[[#Totals],[Rep &amp; Maint Cost]]</f>
        <v>0.13000042110205509</v>
      </c>
      <c r="G6" s="43">
        <f>Table2[[#This Row],[Average Monthly Rep &amp; Maint Cost]]/Table2[[#Totals],[Average Monthly Rep &amp; Maint Cost]]</f>
        <v>0.13000042110205509</v>
      </c>
    </row>
    <row r="7" spans="2:7" ht="16.5">
      <c r="C7" s="27" t="s">
        <v>8</v>
      </c>
      <c r="D7" s="28">
        <v>139184526.40000004</v>
      </c>
      <c r="E7" s="28">
        <f>Table2[[#This Row],[Rep &amp; Maint Cost]]/3</f>
        <v>46394842.133333348</v>
      </c>
      <c r="F7" s="43">
        <f>Table2[[#This Row],[Rep &amp; Maint Cost]]/Table2[[#Totals],[Rep &amp; Maint Cost]]</f>
        <v>0.11977982206672612</v>
      </c>
      <c r="G7" s="43">
        <f>Table2[[#This Row],[Average Monthly Rep &amp; Maint Cost]]/Table2[[#Totals],[Average Monthly Rep &amp; Maint Cost]]</f>
        <v>0.11977982206672612</v>
      </c>
    </row>
    <row r="8" spans="2:7" ht="16.5">
      <c r="B8" s="1"/>
      <c r="C8" s="27" t="s">
        <v>9</v>
      </c>
      <c r="D8" s="28">
        <v>132458909.69999993</v>
      </c>
      <c r="E8" s="28">
        <f>Table2[[#This Row],[Rep &amp; Maint Cost]]/3</f>
        <v>44152969.899999976</v>
      </c>
      <c r="F8" s="43">
        <f>Table2[[#This Row],[Rep &amp; Maint Cost]]/Table2[[#Totals],[Rep &amp; Maint Cost]]</f>
        <v>0.11399187140545912</v>
      </c>
      <c r="G8" s="43">
        <f>Table2[[#This Row],[Average Monthly Rep &amp; Maint Cost]]/Table2[[#Totals],[Average Monthly Rep &amp; Maint Cost]]</f>
        <v>0.11399187140545911</v>
      </c>
    </row>
    <row r="9" spans="2:7" ht="16.5">
      <c r="B9" s="1"/>
      <c r="C9" s="27" t="s">
        <v>10</v>
      </c>
      <c r="D9" s="28">
        <v>111541204.82000001</v>
      </c>
      <c r="E9" s="28">
        <f>Table2[[#This Row],[Rep &amp; Maint Cost]]/3</f>
        <v>37180401.606666669</v>
      </c>
      <c r="F9" s="43">
        <f>Table2[[#This Row],[Rep &amp; Maint Cost]]/Table2[[#Totals],[Rep &amp; Maint Cost]]</f>
        <v>9.599045247351469E-2</v>
      </c>
      <c r="G9" s="43">
        <f>Table2[[#This Row],[Average Monthly Rep &amp; Maint Cost]]/Table2[[#Totals],[Average Monthly Rep &amp; Maint Cost]]</f>
        <v>9.599045247351469E-2</v>
      </c>
    </row>
    <row r="10" spans="2:7" ht="16.5">
      <c r="B10" s="1"/>
      <c r="C10" s="27" t="s">
        <v>11</v>
      </c>
      <c r="D10" s="28">
        <v>76414966.899999976</v>
      </c>
      <c r="E10" s="28">
        <f>Table2[[#This Row],[Rep &amp; Maint Cost]]/3</f>
        <v>25471655.633333325</v>
      </c>
      <c r="F10" s="43">
        <f>Table2[[#This Row],[Rep &amp; Maint Cost]]/Table2[[#Totals],[Rep &amp; Maint Cost]]</f>
        <v>6.5761413105737021E-2</v>
      </c>
      <c r="G10" s="43">
        <f>Table2[[#This Row],[Average Monthly Rep &amp; Maint Cost]]/Table2[[#Totals],[Average Monthly Rep &amp; Maint Cost]]</f>
        <v>6.5761413105737021E-2</v>
      </c>
    </row>
    <row r="11" spans="2:7" ht="16.5">
      <c r="B11" s="1"/>
      <c r="C11" s="27" t="s">
        <v>12</v>
      </c>
      <c r="D11" s="28">
        <v>70735685.579999998</v>
      </c>
      <c r="E11" s="28">
        <f>Table2[[#This Row],[Rep &amp; Maint Cost]]/3</f>
        <v>23578561.859999999</v>
      </c>
      <c r="F11" s="43">
        <f>Table2[[#This Row],[Rep &amp; Maint Cost]]/Table2[[#Totals],[Rep &amp; Maint Cost]]</f>
        <v>6.0873920770407437E-2</v>
      </c>
      <c r="G11" s="43">
        <f>Table2[[#This Row],[Average Monthly Rep &amp; Maint Cost]]/Table2[[#Totals],[Average Monthly Rep &amp; Maint Cost]]</f>
        <v>6.087392077040743E-2</v>
      </c>
    </row>
    <row r="12" spans="2:7" ht="16.5">
      <c r="B12" s="1"/>
      <c r="C12" s="27" t="s">
        <v>13</v>
      </c>
      <c r="D12" s="28">
        <v>26190493.569999997</v>
      </c>
      <c r="E12" s="28">
        <f>Table2[[#This Row],[Rep &amp; Maint Cost]]/3</f>
        <v>8730164.5233333316</v>
      </c>
      <c r="F12" s="43">
        <f>Table2[[#This Row],[Rep &amp; Maint Cost]]/Table2[[#Totals],[Rep &amp; Maint Cost]]</f>
        <v>2.2539090664710076E-2</v>
      </c>
      <c r="G12" s="43">
        <f>Table2[[#This Row],[Average Monthly Rep &amp; Maint Cost]]/Table2[[#Totals],[Average Monthly Rep &amp; Maint Cost]]</f>
        <v>2.2539090664710073E-2</v>
      </c>
    </row>
    <row r="13" spans="2:7" ht="16.5">
      <c r="B13" s="1"/>
      <c r="C13" s="27" t="s">
        <v>14</v>
      </c>
      <c r="D13" s="28">
        <v>14152460.289999997</v>
      </c>
      <c r="E13" s="28">
        <f>Table2[[#This Row],[Rep &amp; Maint Cost]]/3</f>
        <v>4717486.7633333327</v>
      </c>
      <c r="F13" s="43">
        <f>Table2[[#This Row],[Rep &amp; Maint Cost]]/Table2[[#Totals],[Rep &amp; Maint Cost]]</f>
        <v>1.2179365186549978E-2</v>
      </c>
      <c r="G13" s="43">
        <f>Table2[[#This Row],[Average Monthly Rep &amp; Maint Cost]]/Table2[[#Totals],[Average Monthly Rep &amp; Maint Cost]]</f>
        <v>1.2179365186549978E-2</v>
      </c>
    </row>
    <row r="14" spans="2:7" ht="16.5">
      <c r="B14" s="1"/>
      <c r="C14" s="27" t="s">
        <v>15</v>
      </c>
      <c r="D14" s="28">
        <v>10873521.15</v>
      </c>
      <c r="E14" s="28">
        <f>Table2[[#This Row],[Rep &amp; Maint Cost]]/3</f>
        <v>3624507.0500000003</v>
      </c>
      <c r="F14" s="43">
        <f>Table2[[#This Row],[Rep &amp; Maint Cost]]/Table2[[#Totals],[Rep &amp; Maint Cost]]</f>
        <v>9.3575662630970662E-3</v>
      </c>
      <c r="G14" s="43">
        <f>Table2[[#This Row],[Average Monthly Rep &amp; Maint Cost]]/Table2[[#Totals],[Average Monthly Rep &amp; Maint Cost]]</f>
        <v>9.3575662630970644E-3</v>
      </c>
    </row>
    <row r="15" spans="2:7" ht="16.5">
      <c r="B15" s="1"/>
      <c r="C15" s="27" t="s">
        <v>16</v>
      </c>
      <c r="D15" s="28">
        <v>628066.25000000012</v>
      </c>
      <c r="E15" s="28">
        <f>Table2[[#This Row],[Rep &amp; Maint Cost]]/3</f>
        <v>209355.41666666672</v>
      </c>
      <c r="F15" s="43">
        <f>Table2[[#This Row],[Rep &amp; Maint Cost]]/Table2[[#Totals],[Rep &amp; Maint Cost]]</f>
        <v>5.405030689612342E-4</v>
      </c>
      <c r="G15" s="43">
        <f>Table2[[#This Row],[Average Monthly Rep &amp; Maint Cost]]/Table2[[#Totals],[Average Monthly Rep &amp; Maint Cost]]</f>
        <v>5.4050306896123409E-4</v>
      </c>
    </row>
    <row r="16" spans="2:7" ht="16.5">
      <c r="B16" s="1"/>
      <c r="C16" s="27" t="s">
        <v>17</v>
      </c>
      <c r="D16" s="28">
        <v>368562.32999999996</v>
      </c>
      <c r="E16" s="28">
        <f>Table2[[#This Row],[Rep &amp; Maint Cost]]/3</f>
        <v>122854.10999999999</v>
      </c>
      <c r="F16" s="43">
        <f>Table2[[#This Row],[Rep &amp; Maint Cost]]/Table2[[#Totals],[Rep &amp; Maint Cost]]</f>
        <v>3.1717843534579846E-4</v>
      </c>
      <c r="G16" s="43">
        <f>Table2[[#This Row],[Average Monthly Rep &amp; Maint Cost]]/Table2[[#Totals],[Average Monthly Rep &amp; Maint Cost]]</f>
        <v>3.1717843534579841E-4</v>
      </c>
    </row>
    <row r="17" spans="2:9" ht="16.5">
      <c r="B17" s="1"/>
      <c r="C17" s="29" t="s">
        <v>18</v>
      </c>
      <c r="D17" s="30">
        <f>SUBTOTAL(109,Table2[Rep &amp; Maint Cost])</f>
        <v>1162003115.3700001</v>
      </c>
      <c r="E17" s="30">
        <f>SUBTOTAL(109,Table2[Average Monthly Rep &amp; Maint Cost])</f>
        <v>387334371.79000008</v>
      </c>
      <c r="F17" s="45">
        <f>SUBTOTAL(109,Table2[[Total Percenatge ]])</f>
        <v>0.99999999999999978</v>
      </c>
      <c r="G17" s="45">
        <f>SUBTOTAL(109,Table2[[Average Percentage ]])</f>
        <v>0.99999999999999978</v>
      </c>
    </row>
    <row r="18" spans="2:9">
      <c r="B18" s="1"/>
      <c r="C18" s="22"/>
      <c r="E18" s="22"/>
    </row>
    <row r="19" spans="2:9">
      <c r="B19" s="1"/>
      <c r="C19" s="22"/>
      <c r="E19" s="22"/>
    </row>
    <row r="20" spans="2:9">
      <c r="B20" s="20"/>
      <c r="C20" s="21"/>
      <c r="E20" s="22"/>
    </row>
    <row r="21" spans="2:9" ht="15.6">
      <c r="B21" s="46" t="s">
        <v>19</v>
      </c>
      <c r="C21" s="46"/>
      <c r="D21" s="34"/>
      <c r="E21" s="46" t="s">
        <v>20</v>
      </c>
      <c r="F21" s="46"/>
      <c r="G21" s="34"/>
      <c r="H21" s="46" t="s">
        <v>21</v>
      </c>
      <c r="I21" s="46"/>
    </row>
    <row r="22" spans="2:9" ht="15.6">
      <c r="B22" s="35" t="s">
        <v>22</v>
      </c>
      <c r="C22" s="36" t="s">
        <v>1</v>
      </c>
      <c r="D22" s="34"/>
      <c r="E22" s="35" t="s">
        <v>22</v>
      </c>
      <c r="F22" s="36" t="s">
        <v>1</v>
      </c>
      <c r="G22" s="34"/>
      <c r="H22" s="35" t="s">
        <v>22</v>
      </c>
      <c r="I22" s="36" t="s">
        <v>1</v>
      </c>
    </row>
    <row r="23" spans="2:9" ht="15.6">
      <c r="B23" s="37" t="s">
        <v>5</v>
      </c>
      <c r="C23" s="38">
        <v>92890783.010000035</v>
      </c>
      <c r="D23" s="34"/>
      <c r="E23" s="39" t="s">
        <v>5</v>
      </c>
      <c r="F23" s="38">
        <v>58914957.409999989</v>
      </c>
      <c r="G23" s="34"/>
      <c r="H23" s="39" t="s">
        <v>7</v>
      </c>
      <c r="I23" s="38">
        <v>142659504.70999992</v>
      </c>
    </row>
    <row r="24" spans="2:9" ht="15.6">
      <c r="B24" s="37" t="s">
        <v>8</v>
      </c>
      <c r="C24" s="38">
        <v>19934337.000000004</v>
      </c>
      <c r="D24" s="34"/>
      <c r="E24" s="39" t="s">
        <v>10</v>
      </c>
      <c r="F24" s="38">
        <v>47191103.170000002</v>
      </c>
      <c r="G24" s="34"/>
      <c r="H24" s="39" t="s">
        <v>6</v>
      </c>
      <c r="I24" s="38">
        <v>132811666.19000009</v>
      </c>
    </row>
    <row r="25" spans="2:9" ht="15.6">
      <c r="B25" s="37" t="s">
        <v>6</v>
      </c>
      <c r="C25" s="38">
        <v>35931221.030000001</v>
      </c>
      <c r="D25" s="34"/>
      <c r="E25" s="39" t="s">
        <v>11</v>
      </c>
      <c r="F25" s="38">
        <v>40991841.529999964</v>
      </c>
      <c r="G25" s="34"/>
      <c r="H25" s="39" t="s">
        <v>9</v>
      </c>
      <c r="I25" s="38">
        <v>108492544.56999993</v>
      </c>
    </row>
    <row r="26" spans="2:9" ht="15.6">
      <c r="B26" s="37" t="s">
        <v>12</v>
      </c>
      <c r="C26" s="38">
        <v>15217670.740000006</v>
      </c>
      <c r="D26" s="34"/>
      <c r="E26" s="39" t="s">
        <v>8</v>
      </c>
      <c r="F26" s="38">
        <v>32884992.989999995</v>
      </c>
      <c r="G26" s="34"/>
      <c r="H26" s="39" t="s">
        <v>8</v>
      </c>
      <c r="I26" s="38">
        <v>86365196.410000056</v>
      </c>
    </row>
    <row r="27" spans="2:9" ht="15.6">
      <c r="B27" s="37" t="s">
        <v>10</v>
      </c>
      <c r="C27" s="38">
        <v>9567682.4400000032</v>
      </c>
      <c r="D27" s="34"/>
      <c r="E27" s="39" t="s">
        <v>6</v>
      </c>
      <c r="F27" s="38">
        <v>29269442.059999999</v>
      </c>
      <c r="G27" s="34"/>
      <c r="H27" s="39" t="s">
        <v>5</v>
      </c>
      <c r="I27" s="38">
        <v>78575754.360000089</v>
      </c>
    </row>
    <row r="28" spans="2:9" ht="15.6">
      <c r="B28" s="37" t="s">
        <v>9</v>
      </c>
      <c r="C28" s="38">
        <v>7841668.6699999934</v>
      </c>
      <c r="D28" s="34"/>
      <c r="E28" s="39" t="s">
        <v>12</v>
      </c>
      <c r="F28" s="38">
        <v>24098768.70999999</v>
      </c>
      <c r="G28" s="34"/>
      <c r="H28" s="39" t="s">
        <v>10</v>
      </c>
      <c r="I28" s="38">
        <v>54782419.210000001</v>
      </c>
    </row>
    <row r="29" spans="2:9" ht="15.6">
      <c r="B29" s="37" t="s">
        <v>13</v>
      </c>
      <c r="C29" s="38">
        <v>4960381.0000000047</v>
      </c>
      <c r="D29" s="34"/>
      <c r="E29" s="39" t="s">
        <v>9</v>
      </c>
      <c r="F29" s="38">
        <v>16124696.460000006</v>
      </c>
      <c r="G29" s="34"/>
      <c r="H29" s="39" t="s">
        <v>11</v>
      </c>
      <c r="I29" s="38">
        <v>32028922.710000001</v>
      </c>
    </row>
    <row r="30" spans="2:9" ht="15.6">
      <c r="B30" s="37" t="s">
        <v>7</v>
      </c>
      <c r="C30" s="38">
        <v>5984953.7999999989</v>
      </c>
      <c r="D30" s="34"/>
      <c r="E30" s="39" t="s">
        <v>13</v>
      </c>
      <c r="F30" s="38">
        <v>10318751.769999998</v>
      </c>
      <c r="G30" s="34"/>
      <c r="H30" s="39" t="s">
        <v>12</v>
      </c>
      <c r="I30" s="38">
        <v>31419246.130000006</v>
      </c>
    </row>
    <row r="31" spans="2:9" ht="15.6">
      <c r="B31" s="37" t="s">
        <v>11</v>
      </c>
      <c r="C31" s="38">
        <v>3394202.6600000034</v>
      </c>
      <c r="D31" s="34"/>
      <c r="E31" s="39" t="s">
        <v>15</v>
      </c>
      <c r="F31" s="38">
        <v>7868232.75</v>
      </c>
      <c r="G31" s="34"/>
      <c r="H31" s="39" t="s">
        <v>14</v>
      </c>
      <c r="I31" s="38">
        <v>14152460.289999997</v>
      </c>
    </row>
    <row r="32" spans="2:9" ht="15.6">
      <c r="B32" s="37" t="s">
        <v>15</v>
      </c>
      <c r="C32" s="38">
        <v>2710913.0999999996</v>
      </c>
      <c r="D32" s="34"/>
      <c r="E32" s="39" t="s">
        <v>7</v>
      </c>
      <c r="F32" s="38">
        <v>2416435.8100000005</v>
      </c>
      <c r="G32" s="34"/>
      <c r="H32" s="39" t="s">
        <v>13</v>
      </c>
      <c r="I32" s="38">
        <v>10911360.799999993</v>
      </c>
    </row>
    <row r="33" spans="2:9" ht="15.6">
      <c r="B33" s="37" t="s">
        <v>16</v>
      </c>
      <c r="C33" s="38">
        <v>221370.48000000007</v>
      </c>
      <c r="D33" s="34"/>
      <c r="E33" s="39" t="s">
        <v>17</v>
      </c>
      <c r="F33" s="38">
        <v>165225.34</v>
      </c>
      <c r="G33" s="34"/>
      <c r="H33" s="39" t="s">
        <v>16</v>
      </c>
      <c r="I33" s="38">
        <v>383630.24000000005</v>
      </c>
    </row>
    <row r="34" spans="2:9" ht="15.6">
      <c r="B34" s="37" t="s">
        <v>17</v>
      </c>
      <c r="C34" s="38">
        <v>28657.519999999997</v>
      </c>
      <c r="D34" s="34"/>
      <c r="E34" s="39" t="s">
        <v>16</v>
      </c>
      <c r="F34" s="38">
        <v>23065.53</v>
      </c>
      <c r="G34" s="34"/>
      <c r="H34" s="39" t="s">
        <v>15</v>
      </c>
      <c r="I34" s="38">
        <v>294375.3000000001</v>
      </c>
    </row>
    <row r="35" spans="2:9" ht="15.6">
      <c r="B35" s="34"/>
      <c r="C35" s="40"/>
      <c r="D35" s="34"/>
      <c r="E35" s="39"/>
      <c r="F35" s="39"/>
      <c r="G35" s="34"/>
      <c r="H35" s="39" t="s">
        <v>17</v>
      </c>
      <c r="I35" s="38">
        <v>174679.47</v>
      </c>
    </row>
    <row r="36" spans="2:9" ht="15.6">
      <c r="B36" s="41" t="s">
        <v>23</v>
      </c>
      <c r="C36" s="42">
        <f>SUM(C23:C34)</f>
        <v>198683841.45000002</v>
      </c>
      <c r="D36" s="34"/>
      <c r="E36" s="39"/>
      <c r="F36" s="42">
        <f>SUM(F23:F34)</f>
        <v>270267513.52999991</v>
      </c>
      <c r="G36" s="34"/>
      <c r="H36" s="34"/>
      <c r="I36" s="42">
        <f>SUM(I23:I34)</f>
        <v>692877080.92000008</v>
      </c>
    </row>
    <row r="37" spans="2:9" ht="15.6">
      <c r="B37" s="34"/>
      <c r="C37" s="40"/>
      <c r="D37" s="34"/>
      <c r="E37" s="34"/>
      <c r="F37" s="34"/>
      <c r="G37" s="34"/>
      <c r="H37" s="34"/>
      <c r="I37" s="40"/>
    </row>
  </sheetData>
  <sortState xmlns:xlrd2="http://schemas.microsoft.com/office/spreadsheetml/2017/richdata2" ref="C4:D16">
    <sortCondition descending="1" ref="D4:D16"/>
  </sortState>
  <mergeCells count="3">
    <mergeCell ref="B21:C21"/>
    <mergeCell ref="E21:F21"/>
    <mergeCell ref="H21:I21"/>
  </mergeCells>
  <phoneticPr fontId="10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DA467-271C-4E12-A7C6-A0D06A2211EF}">
  <dimension ref="A2:C1168"/>
  <sheetViews>
    <sheetView topLeftCell="A12" workbookViewId="0">
      <selection activeCell="C79" sqref="C79"/>
    </sheetView>
  </sheetViews>
  <sheetFormatPr defaultColWidth="36.5703125" defaultRowHeight="14.1" outlineLevelRow="1"/>
  <cols>
    <col min="1" max="2" width="36.5703125" style="3"/>
    <col min="3" max="3" width="36.5703125" style="23"/>
    <col min="4" max="16384" width="36.5703125" style="3"/>
  </cols>
  <sheetData>
    <row r="2" spans="1:3">
      <c r="A2" s="17" t="s">
        <v>24</v>
      </c>
      <c r="B2" s="18" t="s">
        <v>25</v>
      </c>
      <c r="C2" s="19" t="s">
        <v>26</v>
      </c>
    </row>
    <row r="3" spans="1:3">
      <c r="A3" s="47" t="s">
        <v>7</v>
      </c>
      <c r="B3" s="12" t="s">
        <v>27</v>
      </c>
      <c r="C3" s="24">
        <v>104609089.48999999</v>
      </c>
    </row>
    <row r="4" spans="1:3">
      <c r="A4" s="47"/>
      <c r="B4" s="12" t="s">
        <v>28</v>
      </c>
      <c r="C4" s="24">
        <v>18840329.170000002</v>
      </c>
    </row>
    <row r="5" spans="1:3">
      <c r="A5" s="47"/>
      <c r="B5" s="12" t="s">
        <v>29</v>
      </c>
      <c r="C5" s="24">
        <v>3240915.4</v>
      </c>
    </row>
    <row r="6" spans="1:3">
      <c r="A6" s="47"/>
      <c r="B6" s="12" t="s">
        <v>30</v>
      </c>
      <c r="C6" s="24">
        <v>3194018.4500000007</v>
      </c>
    </row>
    <row r="7" spans="1:3">
      <c r="A7" s="47"/>
      <c r="B7" s="12" t="s">
        <v>31</v>
      </c>
      <c r="C7" s="24">
        <v>1138694.22</v>
      </c>
    </row>
    <row r="8" spans="1:3">
      <c r="A8" s="47"/>
      <c r="B8" s="12" t="s">
        <v>32</v>
      </c>
      <c r="C8" s="24">
        <v>1138694.22</v>
      </c>
    </row>
    <row r="9" spans="1:3">
      <c r="A9" s="47"/>
      <c r="B9" s="12" t="s">
        <v>33</v>
      </c>
      <c r="C9" s="24">
        <v>1103079.6300000001</v>
      </c>
    </row>
    <row r="10" spans="1:3">
      <c r="A10" s="47"/>
      <c r="B10" s="12" t="s">
        <v>34</v>
      </c>
      <c r="C10" s="24">
        <v>1100000</v>
      </c>
    </row>
    <row r="11" spans="1:3">
      <c r="A11" s="47"/>
      <c r="B11" s="12" t="s">
        <v>35</v>
      </c>
      <c r="C11" s="24">
        <v>837280.11</v>
      </c>
    </row>
    <row r="12" spans="1:3">
      <c r="A12" s="47"/>
      <c r="B12" s="12" t="s">
        <v>36</v>
      </c>
      <c r="C12" s="24">
        <v>802970.85</v>
      </c>
    </row>
    <row r="13" spans="1:3">
      <c r="A13" s="47"/>
      <c r="B13" s="12" t="s">
        <v>37</v>
      </c>
      <c r="C13" s="24">
        <v>754394.8</v>
      </c>
    </row>
    <row r="14" spans="1:3">
      <c r="A14" s="47"/>
      <c r="B14" s="12" t="s">
        <v>38</v>
      </c>
      <c r="C14" s="24">
        <v>716353.45</v>
      </c>
    </row>
    <row r="15" spans="1:3">
      <c r="A15" s="47"/>
      <c r="B15" s="12" t="s">
        <v>39</v>
      </c>
      <c r="C15" s="24">
        <v>605000</v>
      </c>
    </row>
    <row r="16" spans="1:3">
      <c r="A16" s="47"/>
      <c r="B16" s="12" t="s">
        <v>40</v>
      </c>
      <c r="C16" s="24">
        <v>590989.92000000004</v>
      </c>
    </row>
    <row r="17" spans="1:3">
      <c r="A17" s="47"/>
      <c r="B17" s="12" t="s">
        <v>41</v>
      </c>
      <c r="C17" s="24">
        <v>394558.38</v>
      </c>
    </row>
    <row r="18" spans="1:3">
      <c r="A18" s="47"/>
      <c r="B18" s="12" t="s">
        <v>42</v>
      </c>
      <c r="C18" s="24">
        <v>393747.52</v>
      </c>
    </row>
    <row r="19" spans="1:3">
      <c r="A19" s="47"/>
      <c r="B19" s="12" t="s">
        <v>43</v>
      </c>
      <c r="C19" s="24">
        <v>270318.13</v>
      </c>
    </row>
    <row r="20" spans="1:3">
      <c r="A20" s="47"/>
      <c r="B20" s="12" t="s">
        <v>44</v>
      </c>
      <c r="C20" s="24">
        <v>251239.86</v>
      </c>
    </row>
    <row r="21" spans="1:3">
      <c r="A21" s="47"/>
      <c r="B21" s="12" t="s">
        <v>45</v>
      </c>
      <c r="C21" s="24">
        <v>212227</v>
      </c>
    </row>
    <row r="22" spans="1:3">
      <c r="A22" s="47"/>
      <c r="B22" s="12" t="s">
        <v>46</v>
      </c>
      <c r="C22" s="24">
        <v>197165.33000000002</v>
      </c>
    </row>
    <row r="23" spans="1:3" hidden="1" outlineLevel="1">
      <c r="A23" s="12"/>
      <c r="B23" s="12" t="s">
        <v>47</v>
      </c>
      <c r="C23" s="24">
        <v>165877.04999999999</v>
      </c>
    </row>
    <row r="24" spans="1:3" hidden="1" outlineLevel="1">
      <c r="A24" s="12"/>
      <c r="B24" s="12" t="s">
        <v>48</v>
      </c>
      <c r="C24" s="24">
        <v>163981.58000000002</v>
      </c>
    </row>
    <row r="25" spans="1:3" hidden="1" outlineLevel="1">
      <c r="A25" s="12"/>
      <c r="B25" s="12" t="s">
        <v>49</v>
      </c>
      <c r="C25" s="24">
        <v>163885.13</v>
      </c>
    </row>
    <row r="26" spans="1:3" hidden="1" outlineLevel="1">
      <c r="A26" s="12"/>
      <c r="B26" s="12" t="s">
        <v>50</v>
      </c>
      <c r="C26" s="24">
        <v>147070.63</v>
      </c>
    </row>
    <row r="27" spans="1:3" hidden="1" outlineLevel="1">
      <c r="A27" s="12"/>
      <c r="B27" s="12" t="s">
        <v>51</v>
      </c>
      <c r="C27" s="24">
        <v>132833.60999999999</v>
      </c>
    </row>
    <row r="28" spans="1:3" hidden="1" outlineLevel="1">
      <c r="A28" s="12"/>
      <c r="B28" s="12" t="s">
        <v>52</v>
      </c>
      <c r="C28" s="24">
        <v>128317.87</v>
      </c>
    </row>
    <row r="29" spans="1:3" hidden="1" outlineLevel="1">
      <c r="A29" s="12"/>
      <c r="B29" s="12" t="s">
        <v>53</v>
      </c>
      <c r="C29" s="24">
        <v>119592.19</v>
      </c>
    </row>
    <row r="30" spans="1:3" hidden="1" outlineLevel="1">
      <c r="A30" s="12"/>
      <c r="B30" s="12" t="s">
        <v>54</v>
      </c>
      <c r="C30" s="24">
        <v>117000</v>
      </c>
    </row>
    <row r="31" spans="1:3" hidden="1" outlineLevel="1">
      <c r="A31" s="12"/>
      <c r="B31" s="12" t="s">
        <v>55</v>
      </c>
      <c r="C31" s="24">
        <v>115516.63</v>
      </c>
    </row>
    <row r="32" spans="1:3" hidden="1" outlineLevel="1">
      <c r="A32" s="12"/>
      <c r="B32" s="12" t="s">
        <v>56</v>
      </c>
      <c r="C32" s="24">
        <v>82600</v>
      </c>
    </row>
    <row r="33" spans="1:3" hidden="1" outlineLevel="1">
      <c r="A33" s="12"/>
      <c r="B33" s="12" t="s">
        <v>57</v>
      </c>
      <c r="C33" s="24">
        <v>78914.81</v>
      </c>
    </row>
    <row r="34" spans="1:3" hidden="1" outlineLevel="1">
      <c r="A34" s="12"/>
      <c r="B34" s="12" t="s">
        <v>58</v>
      </c>
      <c r="C34" s="24">
        <v>70666.77</v>
      </c>
    </row>
    <row r="35" spans="1:3" hidden="1" outlineLevel="1">
      <c r="A35" s="12"/>
      <c r="B35" s="12" t="s">
        <v>59</v>
      </c>
      <c r="C35" s="24">
        <v>60017.27</v>
      </c>
    </row>
    <row r="36" spans="1:3" hidden="1" outlineLevel="1">
      <c r="A36" s="12"/>
      <c r="B36" s="12" t="s">
        <v>60</v>
      </c>
      <c r="C36" s="24">
        <v>54336.99</v>
      </c>
    </row>
    <row r="37" spans="1:3" hidden="1" outlineLevel="1">
      <c r="A37" s="12"/>
      <c r="B37" s="12" t="s">
        <v>61</v>
      </c>
      <c r="C37" s="24">
        <v>53938.23</v>
      </c>
    </row>
    <row r="38" spans="1:3" hidden="1" outlineLevel="1">
      <c r="A38" s="12"/>
      <c r="B38" s="12" t="s">
        <v>62</v>
      </c>
      <c r="C38" s="24">
        <v>53650.14</v>
      </c>
    </row>
    <row r="39" spans="1:3" hidden="1" outlineLevel="1">
      <c r="A39" s="12"/>
      <c r="B39" s="12" t="s">
        <v>63</v>
      </c>
      <c r="C39" s="24">
        <v>53373.05</v>
      </c>
    </row>
    <row r="40" spans="1:3" hidden="1" outlineLevel="1">
      <c r="A40" s="12"/>
      <c r="B40" s="12" t="s">
        <v>64</v>
      </c>
      <c r="C40" s="24">
        <v>52376.15</v>
      </c>
    </row>
    <row r="41" spans="1:3" hidden="1" outlineLevel="1">
      <c r="A41" s="12"/>
      <c r="B41" s="12" t="s">
        <v>65</v>
      </c>
      <c r="C41" s="24">
        <v>52136.36</v>
      </c>
    </row>
    <row r="42" spans="1:3" hidden="1" outlineLevel="1">
      <c r="A42" s="12"/>
      <c r="B42" s="12" t="s">
        <v>66</v>
      </c>
      <c r="C42" s="24">
        <v>50530.39</v>
      </c>
    </row>
    <row r="43" spans="1:3" hidden="1" outlineLevel="1">
      <c r="A43" s="12"/>
      <c r="B43" s="12" t="s">
        <v>67</v>
      </c>
      <c r="C43" s="24">
        <v>48100.11</v>
      </c>
    </row>
    <row r="44" spans="1:3" hidden="1" outlineLevel="1">
      <c r="A44" s="12"/>
      <c r="B44" s="12" t="s">
        <v>68</v>
      </c>
      <c r="C44" s="24">
        <v>41796.51</v>
      </c>
    </row>
    <row r="45" spans="1:3" hidden="1" outlineLevel="1">
      <c r="A45" s="12"/>
      <c r="B45" s="12" t="s">
        <v>69</v>
      </c>
      <c r="C45" s="24">
        <v>28749.86</v>
      </c>
    </row>
    <row r="46" spans="1:3" hidden="1" outlineLevel="1">
      <c r="A46" s="12"/>
      <c r="B46" s="12" t="s">
        <v>70</v>
      </c>
      <c r="C46" s="24">
        <v>22682.48</v>
      </c>
    </row>
    <row r="47" spans="1:3" hidden="1" outlineLevel="1">
      <c r="A47" s="12"/>
      <c r="B47" s="12" t="s">
        <v>71</v>
      </c>
      <c r="C47" s="24">
        <v>18437.71</v>
      </c>
    </row>
    <row r="48" spans="1:3" hidden="1" outlineLevel="1">
      <c r="A48" s="12"/>
      <c r="B48" s="12" t="s">
        <v>72</v>
      </c>
      <c r="C48" s="24">
        <v>16118.780000000002</v>
      </c>
    </row>
    <row r="49" spans="1:3" hidden="1" outlineLevel="1">
      <c r="A49" s="12"/>
      <c r="B49" s="12" t="s">
        <v>73</v>
      </c>
      <c r="C49" s="24">
        <v>15432</v>
      </c>
    </row>
    <row r="50" spans="1:3" hidden="1" outlineLevel="1">
      <c r="A50" s="12"/>
      <c r="B50" s="12" t="s">
        <v>74</v>
      </c>
      <c r="C50" s="24">
        <v>14129.03</v>
      </c>
    </row>
    <row r="51" spans="1:3" hidden="1" outlineLevel="1">
      <c r="A51" s="12"/>
      <c r="B51" s="12" t="s">
        <v>75</v>
      </c>
      <c r="C51" s="24">
        <v>13710.4</v>
      </c>
    </row>
    <row r="52" spans="1:3" hidden="1" outlineLevel="1">
      <c r="A52" s="12"/>
      <c r="B52" s="12" t="s">
        <v>76</v>
      </c>
      <c r="C52" s="24">
        <v>11514.900000000001</v>
      </c>
    </row>
    <row r="53" spans="1:3" hidden="1" outlineLevel="1">
      <c r="A53" s="12"/>
      <c r="B53" s="12" t="s">
        <v>77</v>
      </c>
      <c r="C53" s="24">
        <v>10635.119999999999</v>
      </c>
    </row>
    <row r="54" spans="1:3" hidden="1" outlineLevel="1">
      <c r="A54" s="12"/>
      <c r="B54" s="12" t="s">
        <v>78</v>
      </c>
      <c r="C54" s="24">
        <v>10550.87</v>
      </c>
    </row>
    <row r="55" spans="1:3" hidden="1" outlineLevel="1">
      <c r="A55" s="12"/>
      <c r="B55" s="12" t="s">
        <v>79</v>
      </c>
      <c r="C55" s="24">
        <v>10286.219999999999</v>
      </c>
    </row>
    <row r="56" spans="1:3" hidden="1" outlineLevel="1">
      <c r="A56" s="12"/>
      <c r="B56" s="12" t="s">
        <v>80</v>
      </c>
      <c r="C56" s="24">
        <v>10074.06</v>
      </c>
    </row>
    <row r="57" spans="1:3" hidden="1" outlineLevel="1">
      <c r="A57" s="12"/>
      <c r="B57" s="12" t="s">
        <v>81</v>
      </c>
      <c r="C57" s="24">
        <v>9696.82</v>
      </c>
    </row>
    <row r="58" spans="1:3" hidden="1" outlineLevel="1">
      <c r="A58" s="12"/>
      <c r="B58" s="12" t="s">
        <v>82</v>
      </c>
      <c r="C58" s="24">
        <v>9500</v>
      </c>
    </row>
    <row r="59" spans="1:3" hidden="1" outlineLevel="1">
      <c r="A59" s="12"/>
      <c r="B59" s="12" t="s">
        <v>83</v>
      </c>
      <c r="C59" s="24">
        <v>8901.86</v>
      </c>
    </row>
    <row r="60" spans="1:3" hidden="1" outlineLevel="1">
      <c r="A60" s="12"/>
      <c r="B60" s="12" t="s">
        <v>84</v>
      </c>
      <c r="C60" s="24">
        <v>7314.54</v>
      </c>
    </row>
    <row r="61" spans="1:3" hidden="1" outlineLevel="1">
      <c r="A61" s="12"/>
      <c r="B61" s="12" t="s">
        <v>85</v>
      </c>
      <c r="C61" s="24">
        <v>6558.51</v>
      </c>
    </row>
    <row r="62" spans="1:3" hidden="1" outlineLevel="1">
      <c r="A62" s="12"/>
      <c r="B62" s="12" t="s">
        <v>86</v>
      </c>
      <c r="C62" s="24">
        <v>6004.3</v>
      </c>
    </row>
    <row r="63" spans="1:3" hidden="1" outlineLevel="1">
      <c r="A63" s="12"/>
      <c r="B63" s="12" t="s">
        <v>87</v>
      </c>
      <c r="C63" s="24">
        <v>5268.73</v>
      </c>
    </row>
    <row r="64" spans="1:3" hidden="1" outlineLevel="1">
      <c r="A64" s="12"/>
      <c r="B64" s="12" t="s">
        <v>88</v>
      </c>
      <c r="C64" s="24">
        <v>5228.1400000000003</v>
      </c>
    </row>
    <row r="65" spans="1:3" hidden="1" outlineLevel="1">
      <c r="A65" s="12"/>
      <c r="B65" s="12" t="s">
        <v>89</v>
      </c>
      <c r="C65" s="24">
        <v>3740.21</v>
      </c>
    </row>
    <row r="66" spans="1:3" hidden="1" outlineLevel="1">
      <c r="A66" s="12"/>
      <c r="B66" s="12" t="s">
        <v>90</v>
      </c>
      <c r="C66" s="24">
        <v>3399.91</v>
      </c>
    </row>
    <row r="67" spans="1:3" hidden="1" outlineLevel="1">
      <c r="A67" s="12"/>
      <c r="B67" s="12" t="s">
        <v>91</v>
      </c>
      <c r="C67" s="24">
        <v>3127.27</v>
      </c>
    </row>
    <row r="68" spans="1:3" hidden="1" outlineLevel="1">
      <c r="A68" s="12"/>
      <c r="B68" s="12" t="s">
        <v>92</v>
      </c>
      <c r="C68" s="24">
        <v>2184.81</v>
      </c>
    </row>
    <row r="69" spans="1:3" hidden="1" outlineLevel="1">
      <c r="A69" s="12"/>
      <c r="B69" s="12" t="s">
        <v>93</v>
      </c>
      <c r="C69" s="24">
        <v>1947.67</v>
      </c>
    </row>
    <row r="70" spans="1:3" hidden="1" outlineLevel="1">
      <c r="A70" s="12"/>
      <c r="B70" s="12" t="s">
        <v>94</v>
      </c>
      <c r="C70" s="24">
        <v>1787.27</v>
      </c>
    </row>
    <row r="71" spans="1:3" hidden="1" outlineLevel="1">
      <c r="A71" s="12"/>
      <c r="B71" s="12" t="s">
        <v>95</v>
      </c>
      <c r="C71" s="24">
        <v>1722.69</v>
      </c>
    </row>
    <row r="72" spans="1:3" hidden="1" outlineLevel="1">
      <c r="A72" s="12"/>
      <c r="B72" s="12" t="s">
        <v>96</v>
      </c>
      <c r="C72" s="24">
        <v>1096.49</v>
      </c>
    </row>
    <row r="73" spans="1:3" hidden="1" outlineLevel="1">
      <c r="A73" s="12"/>
      <c r="B73" s="12" t="s">
        <v>97</v>
      </c>
      <c r="C73" s="24">
        <v>583.69000000000005</v>
      </c>
    </row>
    <row r="74" spans="1:3" hidden="1" outlineLevel="1">
      <c r="A74" s="12"/>
      <c r="B74" s="12" t="s">
        <v>98</v>
      </c>
      <c r="C74" s="24">
        <v>565.14</v>
      </c>
    </row>
    <row r="75" spans="1:3" hidden="1" outlineLevel="1">
      <c r="A75" s="12"/>
      <c r="B75" s="12" t="s">
        <v>99</v>
      </c>
      <c r="C75" s="24">
        <v>340</v>
      </c>
    </row>
    <row r="76" spans="1:3" hidden="1" outlineLevel="1">
      <c r="A76" s="12"/>
      <c r="B76" s="12" t="s">
        <v>100</v>
      </c>
      <c r="C76" s="24">
        <v>318.95999999999998</v>
      </c>
    </row>
    <row r="77" spans="1:3" hidden="1" outlineLevel="1">
      <c r="A77" s="12"/>
      <c r="B77" s="12" t="s">
        <v>101</v>
      </c>
      <c r="C77" s="24">
        <v>281.47000000000003</v>
      </c>
    </row>
    <row r="78" spans="1:3" hidden="1" outlineLevel="1">
      <c r="A78" s="12"/>
      <c r="B78" s="12" t="s">
        <v>102</v>
      </c>
      <c r="C78" s="24">
        <v>37.4</v>
      </c>
    </row>
    <row r="79" spans="1:3" collapsed="1">
      <c r="A79" s="12"/>
      <c r="B79" s="25"/>
      <c r="C79" s="26">
        <f>SUM(C3:C22)</f>
        <v>140391065.93000001</v>
      </c>
    </row>
    <row r="80" spans="1:3">
      <c r="A80" s="12"/>
      <c r="B80" s="12"/>
      <c r="C80" s="24"/>
    </row>
    <row r="81" spans="1:3">
      <c r="A81" s="47" t="s">
        <v>6</v>
      </c>
      <c r="B81" s="12" t="s">
        <v>103</v>
      </c>
      <c r="C81" s="24">
        <v>30162859.050000001</v>
      </c>
    </row>
    <row r="82" spans="1:3">
      <c r="A82" s="47"/>
      <c r="B82" s="12" t="s">
        <v>104</v>
      </c>
      <c r="C82" s="24">
        <v>24376491.059999999</v>
      </c>
    </row>
    <row r="83" spans="1:3">
      <c r="A83" s="47"/>
      <c r="B83" s="12" t="s">
        <v>105</v>
      </c>
      <c r="C83" s="24">
        <v>24203465.82</v>
      </c>
    </row>
    <row r="84" spans="1:3">
      <c r="A84" s="47"/>
      <c r="B84" s="12" t="s">
        <v>106</v>
      </c>
      <c r="C84" s="24">
        <v>9649424.9700000007</v>
      </c>
    </row>
    <row r="85" spans="1:3">
      <c r="A85" s="47"/>
      <c r="B85" s="12" t="s">
        <v>107</v>
      </c>
      <c r="C85" s="24">
        <v>9447006.0099999998</v>
      </c>
    </row>
    <row r="86" spans="1:3">
      <c r="A86" s="47"/>
      <c r="B86" s="12" t="s">
        <v>108</v>
      </c>
      <c r="C86" s="24">
        <v>8820840.5399999991</v>
      </c>
    </row>
    <row r="87" spans="1:3">
      <c r="A87" s="47"/>
      <c r="B87" s="12" t="s">
        <v>109</v>
      </c>
      <c r="C87" s="24">
        <v>4352447.8</v>
      </c>
    </row>
    <row r="88" spans="1:3">
      <c r="A88" s="47"/>
      <c r="B88" s="12" t="s">
        <v>110</v>
      </c>
      <c r="C88" s="24">
        <v>3795067.37</v>
      </c>
    </row>
    <row r="89" spans="1:3">
      <c r="A89" s="47"/>
      <c r="B89" s="12" t="s">
        <v>111</v>
      </c>
      <c r="C89" s="24">
        <v>1814056.7</v>
      </c>
    </row>
    <row r="90" spans="1:3">
      <c r="A90" s="47"/>
      <c r="B90" s="12" t="s">
        <v>112</v>
      </c>
      <c r="C90" s="24">
        <v>1766952.04</v>
      </c>
    </row>
    <row r="91" spans="1:3">
      <c r="A91" s="47"/>
      <c r="B91" s="12" t="s">
        <v>113</v>
      </c>
      <c r="C91" s="24">
        <v>1593432.59</v>
      </c>
    </row>
    <row r="92" spans="1:3">
      <c r="A92" s="47"/>
      <c r="B92" s="12" t="s">
        <v>114</v>
      </c>
      <c r="C92" s="24">
        <v>1361919.79</v>
      </c>
    </row>
    <row r="93" spans="1:3">
      <c r="A93" s="47"/>
      <c r="B93" s="12" t="s">
        <v>115</v>
      </c>
      <c r="C93" s="24">
        <v>934110.16999999993</v>
      </c>
    </row>
    <row r="94" spans="1:3">
      <c r="A94" s="47"/>
      <c r="B94" s="12" t="s">
        <v>116</v>
      </c>
      <c r="C94" s="24">
        <v>713072.54</v>
      </c>
    </row>
    <row r="95" spans="1:3">
      <c r="A95" s="47"/>
      <c r="B95" s="12" t="s">
        <v>117</v>
      </c>
      <c r="C95" s="24">
        <v>569004.97</v>
      </c>
    </row>
    <row r="96" spans="1:3">
      <c r="A96" s="47"/>
      <c r="B96" s="12" t="s">
        <v>118</v>
      </c>
      <c r="C96" s="24">
        <v>562911</v>
      </c>
    </row>
    <row r="97" spans="1:3">
      <c r="A97" s="47"/>
      <c r="B97" s="12" t="s">
        <v>119</v>
      </c>
      <c r="C97" s="24">
        <v>532542.97</v>
      </c>
    </row>
    <row r="98" spans="1:3">
      <c r="A98" s="47"/>
      <c r="B98" s="12" t="s">
        <v>120</v>
      </c>
      <c r="C98" s="24">
        <v>454671.43</v>
      </c>
    </row>
    <row r="99" spans="1:3">
      <c r="A99" s="47"/>
      <c r="B99" s="12" t="s">
        <v>121</v>
      </c>
      <c r="C99" s="24">
        <v>352768.7</v>
      </c>
    </row>
    <row r="100" spans="1:3">
      <c r="A100" s="47"/>
      <c r="B100" s="12" t="s">
        <v>122</v>
      </c>
      <c r="C100" s="24">
        <v>342489.34</v>
      </c>
    </row>
    <row r="101" spans="1:3" hidden="1" outlineLevel="1">
      <c r="A101" s="12"/>
      <c r="B101" s="12" t="s">
        <v>123</v>
      </c>
      <c r="C101" s="24">
        <v>342225.48</v>
      </c>
    </row>
    <row r="102" spans="1:3" hidden="1" outlineLevel="1">
      <c r="A102" s="12"/>
      <c r="B102" s="12" t="s">
        <v>124</v>
      </c>
      <c r="C102" s="24">
        <v>340318.75</v>
      </c>
    </row>
    <row r="103" spans="1:3" hidden="1" outlineLevel="1">
      <c r="A103" s="12"/>
      <c r="B103" s="12" t="s">
        <v>125</v>
      </c>
      <c r="C103" s="24">
        <v>320571.34000000003</v>
      </c>
    </row>
    <row r="104" spans="1:3" hidden="1" outlineLevel="1">
      <c r="A104" s="12"/>
      <c r="B104" s="12" t="s">
        <v>126</v>
      </c>
      <c r="C104" s="24">
        <v>306559.5</v>
      </c>
    </row>
    <row r="105" spans="1:3" hidden="1" outlineLevel="1">
      <c r="A105" s="12"/>
      <c r="B105" s="12" t="s">
        <v>127</v>
      </c>
      <c r="C105" s="24">
        <v>301827.31</v>
      </c>
    </row>
    <row r="106" spans="1:3" hidden="1" outlineLevel="1">
      <c r="A106" s="12"/>
      <c r="B106" s="12" t="s">
        <v>128</v>
      </c>
      <c r="C106" s="24">
        <v>278136.69</v>
      </c>
    </row>
    <row r="107" spans="1:3" hidden="1" outlineLevel="1">
      <c r="A107" s="12"/>
      <c r="B107" s="12" t="s">
        <v>129</v>
      </c>
      <c r="C107" s="24">
        <v>276880.89</v>
      </c>
    </row>
    <row r="108" spans="1:3" hidden="1" outlineLevel="1">
      <c r="A108" s="12"/>
      <c r="B108" s="12" t="s">
        <v>130</v>
      </c>
      <c r="C108" s="24">
        <v>250000</v>
      </c>
    </row>
    <row r="109" spans="1:3" hidden="1" outlineLevel="1">
      <c r="A109" s="12"/>
      <c r="B109" s="12" t="s">
        <v>131</v>
      </c>
      <c r="C109" s="24">
        <v>246000</v>
      </c>
    </row>
    <row r="110" spans="1:3" hidden="1" outlineLevel="1">
      <c r="A110" s="12"/>
      <c r="B110" s="12" t="s">
        <v>132</v>
      </c>
      <c r="C110" s="24">
        <v>237972.16999999998</v>
      </c>
    </row>
    <row r="111" spans="1:3" hidden="1" outlineLevel="1">
      <c r="A111" s="12"/>
      <c r="B111" s="12" t="s">
        <v>133</v>
      </c>
      <c r="C111" s="24">
        <v>222388.36</v>
      </c>
    </row>
    <row r="112" spans="1:3" hidden="1" outlineLevel="1">
      <c r="A112" s="12"/>
      <c r="B112" s="12" t="s">
        <v>134</v>
      </c>
      <c r="C112" s="24">
        <v>221926.6</v>
      </c>
    </row>
    <row r="113" spans="1:3" hidden="1" outlineLevel="1">
      <c r="A113" s="12"/>
      <c r="B113" s="12" t="s">
        <v>135</v>
      </c>
      <c r="C113" s="24">
        <v>214640</v>
      </c>
    </row>
    <row r="114" spans="1:3" hidden="1" outlineLevel="1">
      <c r="A114" s="12"/>
      <c r="B114" s="12" t="s">
        <v>136</v>
      </c>
      <c r="C114" s="24">
        <v>192756.8</v>
      </c>
    </row>
    <row r="115" spans="1:3" hidden="1" outlineLevel="1">
      <c r="A115" s="12"/>
      <c r="B115" s="12" t="s">
        <v>137</v>
      </c>
      <c r="C115" s="24">
        <v>166479.32999999999</v>
      </c>
    </row>
    <row r="116" spans="1:3" hidden="1" outlineLevel="1">
      <c r="A116" s="12"/>
      <c r="B116" s="12" t="s">
        <v>138</v>
      </c>
      <c r="C116" s="24">
        <v>161472.75</v>
      </c>
    </row>
    <row r="117" spans="1:3" hidden="1" outlineLevel="1">
      <c r="A117" s="12"/>
      <c r="B117" s="12" t="s">
        <v>139</v>
      </c>
      <c r="C117" s="24">
        <v>144274.21</v>
      </c>
    </row>
    <row r="118" spans="1:3" hidden="1" outlineLevel="1">
      <c r="A118" s="12"/>
      <c r="B118" s="12" t="s">
        <v>140</v>
      </c>
      <c r="C118" s="24">
        <v>129391.19</v>
      </c>
    </row>
    <row r="119" spans="1:3" hidden="1" outlineLevel="1">
      <c r="A119" s="12"/>
      <c r="B119" s="12" t="s">
        <v>141</v>
      </c>
      <c r="C119" s="24">
        <v>127417.74</v>
      </c>
    </row>
    <row r="120" spans="1:3" hidden="1" outlineLevel="1">
      <c r="A120" s="12"/>
      <c r="B120" s="12" t="s">
        <v>142</v>
      </c>
      <c r="C120" s="24">
        <v>121331.43</v>
      </c>
    </row>
    <row r="121" spans="1:3" hidden="1" outlineLevel="1">
      <c r="A121" s="12"/>
      <c r="B121" s="12" t="s">
        <v>143</v>
      </c>
      <c r="C121" s="24">
        <v>120957.97</v>
      </c>
    </row>
    <row r="122" spans="1:3" hidden="1" outlineLevel="1">
      <c r="A122" s="12"/>
      <c r="B122" s="12" t="s">
        <v>67</v>
      </c>
      <c r="C122" s="24">
        <v>111000.33</v>
      </c>
    </row>
    <row r="123" spans="1:3" hidden="1" outlineLevel="1">
      <c r="A123" s="12"/>
      <c r="B123" s="12" t="s">
        <v>144</v>
      </c>
      <c r="C123" s="24">
        <v>108168.58</v>
      </c>
    </row>
    <row r="124" spans="1:3" hidden="1" outlineLevel="1">
      <c r="A124" s="12"/>
      <c r="B124" s="12" t="s">
        <v>145</v>
      </c>
      <c r="C124" s="24">
        <v>106703.81</v>
      </c>
    </row>
    <row r="125" spans="1:3" hidden="1" outlineLevel="1">
      <c r="A125" s="12"/>
      <c r="B125" s="12" t="s">
        <v>146</v>
      </c>
      <c r="C125" s="24">
        <v>105681.37</v>
      </c>
    </row>
    <row r="126" spans="1:3" hidden="1" outlineLevel="1">
      <c r="A126" s="12"/>
      <c r="B126" s="12" t="s">
        <v>147</v>
      </c>
      <c r="C126" s="24">
        <v>101366.59</v>
      </c>
    </row>
    <row r="127" spans="1:3" hidden="1" outlineLevel="1">
      <c r="A127" s="12"/>
      <c r="B127" s="12" t="s">
        <v>148</v>
      </c>
      <c r="C127" s="24">
        <v>99168.829999999987</v>
      </c>
    </row>
    <row r="128" spans="1:3" hidden="1" outlineLevel="1">
      <c r="A128" s="12"/>
      <c r="B128" s="12" t="s">
        <v>149</v>
      </c>
      <c r="C128" s="24">
        <v>98987.37</v>
      </c>
    </row>
    <row r="129" spans="1:3" hidden="1" outlineLevel="1">
      <c r="A129" s="12"/>
      <c r="B129" s="12" t="s">
        <v>150</v>
      </c>
      <c r="C129" s="24">
        <v>92926.67</v>
      </c>
    </row>
    <row r="130" spans="1:3" hidden="1" outlineLevel="1">
      <c r="A130" s="12"/>
      <c r="B130" s="12" t="s">
        <v>151</v>
      </c>
      <c r="C130" s="24">
        <v>90943.51</v>
      </c>
    </row>
    <row r="131" spans="1:3" hidden="1" outlineLevel="1">
      <c r="A131" s="12"/>
      <c r="B131" s="12" t="s">
        <v>152</v>
      </c>
      <c r="C131" s="24">
        <v>86251.77</v>
      </c>
    </row>
    <row r="132" spans="1:3" hidden="1" outlineLevel="1">
      <c r="A132" s="12"/>
      <c r="B132" s="12" t="s">
        <v>40</v>
      </c>
      <c r="C132" s="24">
        <v>77932.740000000005</v>
      </c>
    </row>
    <row r="133" spans="1:3" hidden="1" outlineLevel="1">
      <c r="A133" s="12"/>
      <c r="B133" s="12" t="s">
        <v>70</v>
      </c>
      <c r="C133" s="24">
        <v>59541.509999999995</v>
      </c>
    </row>
    <row r="134" spans="1:3" hidden="1" outlineLevel="1">
      <c r="A134" s="12"/>
      <c r="B134" s="12" t="s">
        <v>153</v>
      </c>
      <c r="C134" s="24">
        <v>55335.68</v>
      </c>
    </row>
    <row r="135" spans="1:3" hidden="1" outlineLevel="1">
      <c r="A135" s="12"/>
      <c r="B135" s="12" t="s">
        <v>154</v>
      </c>
      <c r="C135" s="24">
        <v>53403.839999999997</v>
      </c>
    </row>
    <row r="136" spans="1:3" hidden="1" outlineLevel="1">
      <c r="A136" s="12"/>
      <c r="B136" s="12" t="s">
        <v>155</v>
      </c>
      <c r="C136" s="24">
        <v>52714.879999999997</v>
      </c>
    </row>
    <row r="137" spans="1:3" hidden="1" outlineLevel="1">
      <c r="A137" s="12"/>
      <c r="B137" s="12" t="s">
        <v>156</v>
      </c>
      <c r="C137" s="24">
        <v>52000</v>
      </c>
    </row>
    <row r="138" spans="1:3" hidden="1" outlineLevel="1">
      <c r="A138" s="12"/>
      <c r="B138" s="12" t="s">
        <v>157</v>
      </c>
      <c r="C138" s="24">
        <v>48000</v>
      </c>
    </row>
    <row r="139" spans="1:3" hidden="1" outlineLevel="1">
      <c r="A139" s="12"/>
      <c r="B139" s="12" t="s">
        <v>158</v>
      </c>
      <c r="C139" s="24">
        <v>47663.07</v>
      </c>
    </row>
    <row r="140" spans="1:3" hidden="1" outlineLevel="1">
      <c r="A140" s="12"/>
      <c r="B140" s="12" t="s">
        <v>159</v>
      </c>
      <c r="C140" s="24">
        <v>42778.65</v>
      </c>
    </row>
    <row r="141" spans="1:3" hidden="1" outlineLevel="1">
      <c r="A141" s="12"/>
      <c r="B141" s="12" t="s">
        <v>160</v>
      </c>
      <c r="C141" s="24">
        <v>37679.15</v>
      </c>
    </row>
    <row r="142" spans="1:3" hidden="1" outlineLevel="1">
      <c r="A142" s="12"/>
      <c r="B142" s="12" t="s">
        <v>161</v>
      </c>
      <c r="C142" s="24">
        <v>37645.94</v>
      </c>
    </row>
    <row r="143" spans="1:3" hidden="1" outlineLevel="1">
      <c r="A143" s="12"/>
      <c r="B143" s="12" t="s">
        <v>162</v>
      </c>
      <c r="C143" s="24">
        <v>34492.82</v>
      </c>
    </row>
    <row r="144" spans="1:3" hidden="1" outlineLevel="1">
      <c r="A144" s="12"/>
      <c r="B144" s="12" t="s">
        <v>163</v>
      </c>
      <c r="C144" s="24">
        <v>34412.54</v>
      </c>
    </row>
    <row r="145" spans="1:3" hidden="1" outlineLevel="1">
      <c r="A145" s="12"/>
      <c r="B145" s="12" t="s">
        <v>164</v>
      </c>
      <c r="C145" s="24">
        <v>33000</v>
      </c>
    </row>
    <row r="146" spans="1:3" hidden="1" outlineLevel="1">
      <c r="A146" s="12"/>
      <c r="B146" s="12" t="s">
        <v>165</v>
      </c>
      <c r="C146" s="24">
        <v>31905.66</v>
      </c>
    </row>
    <row r="147" spans="1:3" hidden="1" outlineLevel="1">
      <c r="A147" s="12"/>
      <c r="B147" s="12" t="s">
        <v>166</v>
      </c>
      <c r="C147" s="24">
        <v>31427.09</v>
      </c>
    </row>
    <row r="148" spans="1:3" hidden="1" outlineLevel="1">
      <c r="A148" s="12"/>
      <c r="B148" s="12" t="s">
        <v>167</v>
      </c>
      <c r="C148" s="24">
        <v>30814.400000000001</v>
      </c>
    </row>
    <row r="149" spans="1:3" hidden="1" outlineLevel="1">
      <c r="A149" s="12"/>
      <c r="B149" s="12" t="s">
        <v>168</v>
      </c>
      <c r="C149" s="24">
        <v>30149.45</v>
      </c>
    </row>
    <row r="150" spans="1:3" hidden="1" outlineLevel="1">
      <c r="A150" s="12"/>
      <c r="B150" s="12" t="s">
        <v>60</v>
      </c>
      <c r="C150" s="24">
        <v>27168.5</v>
      </c>
    </row>
    <row r="151" spans="1:3" hidden="1" outlineLevel="1">
      <c r="A151" s="12"/>
      <c r="B151" s="12" t="s">
        <v>169</v>
      </c>
      <c r="C151" s="24">
        <v>27153.25</v>
      </c>
    </row>
    <row r="152" spans="1:3" hidden="1" outlineLevel="1">
      <c r="A152" s="12"/>
      <c r="B152" s="12" t="s">
        <v>170</v>
      </c>
      <c r="C152" s="24">
        <v>24779.84</v>
      </c>
    </row>
    <row r="153" spans="1:3" hidden="1" outlineLevel="1">
      <c r="A153" s="12"/>
      <c r="B153" s="12" t="s">
        <v>171</v>
      </c>
      <c r="C153" s="24">
        <v>23835.82</v>
      </c>
    </row>
    <row r="154" spans="1:3" hidden="1" outlineLevel="1">
      <c r="A154" s="12"/>
      <c r="B154" s="12" t="s">
        <v>172</v>
      </c>
      <c r="C154" s="24">
        <v>22683.03</v>
      </c>
    </row>
    <row r="155" spans="1:3" hidden="1" outlineLevel="1">
      <c r="A155" s="12"/>
      <c r="B155" s="12" t="s">
        <v>173</v>
      </c>
      <c r="C155" s="24">
        <v>22662.42</v>
      </c>
    </row>
    <row r="156" spans="1:3" hidden="1" outlineLevel="1">
      <c r="A156" s="12"/>
      <c r="B156" s="12" t="s">
        <v>174</v>
      </c>
      <c r="C156" s="24">
        <v>22502.55</v>
      </c>
    </row>
    <row r="157" spans="1:3" hidden="1" outlineLevel="1">
      <c r="A157" s="12"/>
      <c r="B157" s="12" t="s">
        <v>175</v>
      </c>
      <c r="C157" s="24">
        <v>20224.04</v>
      </c>
    </row>
    <row r="158" spans="1:3" hidden="1" outlineLevel="1">
      <c r="A158" s="12"/>
      <c r="B158" s="12" t="s">
        <v>176</v>
      </c>
      <c r="C158" s="24">
        <v>19609.650000000001</v>
      </c>
    </row>
    <row r="159" spans="1:3" hidden="1" outlineLevel="1">
      <c r="A159" s="12"/>
      <c r="B159" s="12" t="s">
        <v>177</v>
      </c>
      <c r="C159" s="24">
        <v>19132.419999999998</v>
      </c>
    </row>
    <row r="160" spans="1:3" hidden="1" outlineLevel="1">
      <c r="A160" s="12"/>
      <c r="B160" s="12" t="s">
        <v>178</v>
      </c>
      <c r="C160" s="24">
        <v>18601.3</v>
      </c>
    </row>
    <row r="161" spans="1:3" hidden="1" outlineLevel="1">
      <c r="A161" s="12"/>
      <c r="B161" s="12" t="s">
        <v>179</v>
      </c>
      <c r="C161" s="24">
        <v>18437.34</v>
      </c>
    </row>
    <row r="162" spans="1:3" hidden="1" outlineLevel="1">
      <c r="A162" s="12"/>
      <c r="B162" s="12" t="s">
        <v>180</v>
      </c>
      <c r="C162" s="24">
        <v>17593.91</v>
      </c>
    </row>
    <row r="163" spans="1:3" hidden="1" outlineLevel="1">
      <c r="A163" s="12"/>
      <c r="B163" s="12" t="s">
        <v>181</v>
      </c>
      <c r="C163" s="24">
        <v>14760.1</v>
      </c>
    </row>
    <row r="164" spans="1:3" hidden="1" outlineLevel="1">
      <c r="A164" s="12"/>
      <c r="B164" s="12" t="s">
        <v>182</v>
      </c>
      <c r="C164" s="24">
        <v>12522.73</v>
      </c>
    </row>
    <row r="165" spans="1:3" hidden="1" outlineLevel="1">
      <c r="A165" s="12"/>
      <c r="B165" s="12" t="s">
        <v>183</v>
      </c>
      <c r="C165" s="24">
        <v>11009.08</v>
      </c>
    </row>
    <row r="166" spans="1:3" hidden="1" outlineLevel="1">
      <c r="A166" s="12"/>
      <c r="B166" s="12" t="s">
        <v>57</v>
      </c>
      <c r="C166" s="24">
        <v>10793.979999999998</v>
      </c>
    </row>
    <row r="167" spans="1:3" hidden="1" outlineLevel="1">
      <c r="A167" s="12"/>
      <c r="B167" s="12" t="s">
        <v>184</v>
      </c>
      <c r="C167" s="24">
        <v>10455.790000000001</v>
      </c>
    </row>
    <row r="168" spans="1:3" hidden="1" outlineLevel="1">
      <c r="A168" s="12"/>
      <c r="B168" s="12" t="s">
        <v>185</v>
      </c>
      <c r="C168" s="24">
        <v>10145.23</v>
      </c>
    </row>
    <row r="169" spans="1:3" hidden="1" outlineLevel="1">
      <c r="A169" s="12"/>
      <c r="B169" s="12" t="s">
        <v>186</v>
      </c>
      <c r="C169" s="24">
        <v>7239.67</v>
      </c>
    </row>
    <row r="170" spans="1:3" hidden="1" outlineLevel="1">
      <c r="A170" s="12"/>
      <c r="B170" s="12" t="s">
        <v>187</v>
      </c>
      <c r="C170" s="24">
        <v>6497.91</v>
      </c>
    </row>
    <row r="171" spans="1:3" hidden="1" outlineLevel="1">
      <c r="A171" s="12"/>
      <c r="B171" s="12" t="s">
        <v>188</v>
      </c>
      <c r="C171" s="24">
        <v>6345.5399999999991</v>
      </c>
    </row>
    <row r="172" spans="1:3" hidden="1" outlineLevel="1">
      <c r="A172" s="12"/>
      <c r="B172" s="12" t="s">
        <v>189</v>
      </c>
      <c r="C172" s="24">
        <v>6098.87</v>
      </c>
    </row>
    <row r="173" spans="1:3" hidden="1" outlineLevel="1">
      <c r="A173" s="12"/>
      <c r="B173" s="12" t="s">
        <v>190</v>
      </c>
      <c r="C173" s="24">
        <v>6098.81</v>
      </c>
    </row>
    <row r="174" spans="1:3" hidden="1" outlineLevel="1">
      <c r="A174" s="12"/>
      <c r="B174" s="12" t="s">
        <v>191</v>
      </c>
      <c r="C174" s="24">
        <v>5089.1400000000003</v>
      </c>
    </row>
    <row r="175" spans="1:3" hidden="1" outlineLevel="1">
      <c r="A175" s="12"/>
      <c r="B175" s="12" t="s">
        <v>192</v>
      </c>
      <c r="C175" s="24">
        <v>4800</v>
      </c>
    </row>
    <row r="176" spans="1:3" hidden="1" outlineLevel="1">
      <c r="A176" s="12"/>
      <c r="B176" s="12" t="s">
        <v>193</v>
      </c>
      <c r="C176" s="24">
        <v>4529.7300000000005</v>
      </c>
    </row>
    <row r="177" spans="1:3" hidden="1" outlineLevel="1">
      <c r="A177" s="12"/>
      <c r="B177" s="12" t="s">
        <v>86</v>
      </c>
      <c r="C177" s="24">
        <v>4503.22</v>
      </c>
    </row>
    <row r="178" spans="1:3" hidden="1" outlineLevel="1">
      <c r="A178" s="12"/>
      <c r="B178" s="12" t="s">
        <v>81</v>
      </c>
      <c r="C178" s="24">
        <v>4407.6400000000003</v>
      </c>
    </row>
    <row r="179" spans="1:3" hidden="1" outlineLevel="1">
      <c r="A179" s="12"/>
      <c r="B179" s="12" t="s">
        <v>194</v>
      </c>
      <c r="C179" s="24">
        <v>4335.9800000000005</v>
      </c>
    </row>
    <row r="180" spans="1:3" hidden="1" outlineLevel="1">
      <c r="A180" s="12"/>
      <c r="B180" s="12" t="s">
        <v>195</v>
      </c>
      <c r="C180" s="24">
        <v>4318.59</v>
      </c>
    </row>
    <row r="181" spans="1:3" hidden="1" outlineLevel="1">
      <c r="A181" s="12"/>
      <c r="B181" s="12" t="s">
        <v>196</v>
      </c>
      <c r="C181" s="24">
        <v>4188.29</v>
      </c>
    </row>
    <row r="182" spans="1:3" hidden="1" outlineLevel="1">
      <c r="A182" s="12"/>
      <c r="B182" s="12" t="s">
        <v>197</v>
      </c>
      <c r="C182" s="24">
        <v>4082.55</v>
      </c>
    </row>
    <row r="183" spans="1:3" hidden="1" outlineLevel="1">
      <c r="A183" s="12"/>
      <c r="B183" s="12" t="s">
        <v>198</v>
      </c>
      <c r="C183" s="24">
        <v>3659.8599999999997</v>
      </c>
    </row>
    <row r="184" spans="1:3" hidden="1" outlineLevel="1">
      <c r="A184" s="12"/>
      <c r="B184" s="12" t="s">
        <v>199</v>
      </c>
      <c r="C184" s="24">
        <v>3638.31</v>
      </c>
    </row>
    <row r="185" spans="1:3" hidden="1" outlineLevel="1">
      <c r="A185" s="12"/>
      <c r="B185" s="12" t="s">
        <v>200</v>
      </c>
      <c r="C185" s="24">
        <v>3576.5</v>
      </c>
    </row>
    <row r="186" spans="1:3" hidden="1" outlineLevel="1">
      <c r="A186" s="12"/>
      <c r="B186" s="12" t="s">
        <v>201</v>
      </c>
      <c r="C186" s="24">
        <v>3442.94</v>
      </c>
    </row>
    <row r="187" spans="1:3" hidden="1" outlineLevel="1">
      <c r="A187" s="12"/>
      <c r="B187" s="12" t="s">
        <v>202</v>
      </c>
      <c r="C187" s="24">
        <v>3356.25</v>
      </c>
    </row>
    <row r="188" spans="1:3" hidden="1" outlineLevel="1">
      <c r="A188" s="12"/>
      <c r="B188" s="12" t="s">
        <v>203</v>
      </c>
      <c r="C188" s="24">
        <v>3200</v>
      </c>
    </row>
    <row r="189" spans="1:3" hidden="1" outlineLevel="1">
      <c r="A189" s="12"/>
      <c r="B189" s="12" t="s">
        <v>204</v>
      </c>
      <c r="C189" s="24">
        <v>2977.4</v>
      </c>
    </row>
    <row r="190" spans="1:3" hidden="1" outlineLevel="1">
      <c r="A190" s="12"/>
      <c r="B190" s="12" t="s">
        <v>205</v>
      </c>
      <c r="C190" s="24">
        <v>2434.9299999999998</v>
      </c>
    </row>
    <row r="191" spans="1:3" hidden="1" outlineLevel="1">
      <c r="A191" s="12"/>
      <c r="B191" s="12" t="s">
        <v>206</v>
      </c>
      <c r="C191" s="24">
        <v>2342.84</v>
      </c>
    </row>
    <row r="192" spans="1:3" hidden="1" outlineLevel="1">
      <c r="A192" s="12"/>
      <c r="B192" s="12" t="s">
        <v>85</v>
      </c>
      <c r="C192" s="24">
        <v>2302.86</v>
      </c>
    </row>
    <row r="193" spans="1:3" hidden="1" outlineLevel="1">
      <c r="A193" s="12"/>
      <c r="B193" s="12" t="s">
        <v>207</v>
      </c>
      <c r="C193" s="24">
        <v>2300</v>
      </c>
    </row>
    <row r="194" spans="1:3" hidden="1" outlineLevel="1">
      <c r="A194" s="12"/>
      <c r="B194" s="12" t="s">
        <v>208</v>
      </c>
      <c r="C194" s="24">
        <v>2229.42</v>
      </c>
    </row>
    <row r="195" spans="1:3" hidden="1" outlineLevel="1">
      <c r="A195" s="12"/>
      <c r="B195" s="12" t="s">
        <v>209</v>
      </c>
      <c r="C195" s="24">
        <v>2175.8000000000002</v>
      </c>
    </row>
    <row r="196" spans="1:3" hidden="1" outlineLevel="1">
      <c r="A196" s="12"/>
      <c r="B196" s="12" t="s">
        <v>76</v>
      </c>
      <c r="C196" s="24">
        <v>1919.16</v>
      </c>
    </row>
    <row r="197" spans="1:3" hidden="1" outlineLevel="1">
      <c r="A197" s="12"/>
      <c r="B197" s="12" t="s">
        <v>210</v>
      </c>
      <c r="C197" s="24">
        <v>1800</v>
      </c>
    </row>
    <row r="198" spans="1:3" hidden="1" outlineLevel="1">
      <c r="A198" s="12"/>
      <c r="B198" s="12" t="s">
        <v>97</v>
      </c>
      <c r="C198" s="24">
        <v>1751.0499999999997</v>
      </c>
    </row>
    <row r="199" spans="1:3" hidden="1" outlineLevel="1">
      <c r="A199" s="12"/>
      <c r="B199" s="12" t="s">
        <v>90</v>
      </c>
      <c r="C199" s="24">
        <v>1699.96</v>
      </c>
    </row>
    <row r="200" spans="1:3" hidden="1" outlineLevel="1">
      <c r="A200" s="12"/>
      <c r="B200" s="12" t="s">
        <v>211</v>
      </c>
      <c r="C200" s="24">
        <v>1636.62</v>
      </c>
    </row>
    <row r="201" spans="1:3" hidden="1" outlineLevel="1">
      <c r="A201" s="12"/>
      <c r="B201" s="12" t="s">
        <v>72</v>
      </c>
      <c r="C201" s="24">
        <v>1593.88</v>
      </c>
    </row>
    <row r="202" spans="1:3" hidden="1" outlineLevel="1">
      <c r="A202" s="12"/>
      <c r="B202" s="12" t="s">
        <v>212</v>
      </c>
      <c r="C202" s="24">
        <v>1528.89</v>
      </c>
    </row>
    <row r="203" spans="1:3" hidden="1" outlineLevel="1">
      <c r="A203" s="12"/>
      <c r="B203" s="12" t="s">
        <v>96</v>
      </c>
      <c r="C203" s="24">
        <v>1494.5400000000002</v>
      </c>
    </row>
    <row r="204" spans="1:3" hidden="1" outlineLevel="1">
      <c r="A204" s="12"/>
      <c r="B204" s="12" t="s">
        <v>213</v>
      </c>
      <c r="C204" s="24">
        <v>1384.51</v>
      </c>
    </row>
    <row r="205" spans="1:3" hidden="1" outlineLevel="1">
      <c r="A205" s="12"/>
      <c r="B205" s="12" t="s">
        <v>214</v>
      </c>
      <c r="C205" s="24">
        <v>1304.75</v>
      </c>
    </row>
    <row r="206" spans="1:3" hidden="1" outlineLevel="1">
      <c r="A206" s="12"/>
      <c r="B206" s="12" t="s">
        <v>215</v>
      </c>
      <c r="C206" s="24">
        <v>1129.99</v>
      </c>
    </row>
    <row r="207" spans="1:3" hidden="1" outlineLevel="1">
      <c r="A207" s="12"/>
      <c r="B207" s="12" t="s">
        <v>99</v>
      </c>
      <c r="C207" s="24">
        <v>1020</v>
      </c>
    </row>
    <row r="208" spans="1:3" hidden="1" outlineLevel="1">
      <c r="A208" s="12"/>
      <c r="B208" s="12" t="s">
        <v>216</v>
      </c>
      <c r="C208" s="24">
        <v>966.38</v>
      </c>
    </row>
    <row r="209" spans="1:3" hidden="1" outlineLevel="1">
      <c r="A209" s="12"/>
      <c r="B209" s="12" t="s">
        <v>217</v>
      </c>
      <c r="C209" s="24">
        <v>780</v>
      </c>
    </row>
    <row r="210" spans="1:3" hidden="1" outlineLevel="1">
      <c r="A210" s="12"/>
      <c r="B210" s="12" t="s">
        <v>218</v>
      </c>
      <c r="C210" s="24">
        <v>768.97</v>
      </c>
    </row>
    <row r="211" spans="1:3" hidden="1" outlineLevel="1">
      <c r="A211" s="12"/>
      <c r="B211" s="12" t="s">
        <v>219</v>
      </c>
      <c r="C211" s="24">
        <v>767.07</v>
      </c>
    </row>
    <row r="212" spans="1:3" hidden="1" outlineLevel="1">
      <c r="A212" s="12"/>
      <c r="B212" s="12" t="s">
        <v>220</v>
      </c>
      <c r="C212" s="24">
        <v>637</v>
      </c>
    </row>
    <row r="213" spans="1:3" hidden="1" outlineLevel="1">
      <c r="A213" s="12"/>
      <c r="B213" s="12" t="s">
        <v>221</v>
      </c>
      <c r="C213" s="24">
        <v>585</v>
      </c>
    </row>
    <row r="214" spans="1:3" hidden="1" outlineLevel="1">
      <c r="A214" s="12"/>
      <c r="B214" s="12" t="s">
        <v>95</v>
      </c>
      <c r="C214" s="24">
        <v>574.23</v>
      </c>
    </row>
    <row r="215" spans="1:3" hidden="1" outlineLevel="1">
      <c r="A215" s="12"/>
      <c r="B215" s="12" t="s">
        <v>222</v>
      </c>
      <c r="C215" s="24">
        <v>564.1</v>
      </c>
    </row>
    <row r="216" spans="1:3" hidden="1" outlineLevel="1">
      <c r="A216" s="12"/>
      <c r="B216" s="12" t="s">
        <v>223</v>
      </c>
      <c r="C216" s="24">
        <v>560.71</v>
      </c>
    </row>
    <row r="217" spans="1:3" hidden="1" outlineLevel="1">
      <c r="A217" s="12"/>
      <c r="B217" s="12" t="s">
        <v>224</v>
      </c>
      <c r="C217" s="24">
        <v>546.29999999999995</v>
      </c>
    </row>
    <row r="218" spans="1:3" hidden="1" outlineLevel="1">
      <c r="A218" s="12"/>
      <c r="B218" s="12" t="s">
        <v>225</v>
      </c>
      <c r="C218" s="24">
        <v>467.74</v>
      </c>
    </row>
    <row r="219" spans="1:3" hidden="1" outlineLevel="1">
      <c r="A219" s="12"/>
      <c r="B219" s="12" t="s">
        <v>226</v>
      </c>
      <c r="C219" s="24">
        <v>439.5</v>
      </c>
    </row>
    <row r="220" spans="1:3" hidden="1" outlineLevel="1">
      <c r="A220" s="12"/>
      <c r="B220" s="12" t="s">
        <v>227</v>
      </c>
      <c r="C220" s="24">
        <v>170</v>
      </c>
    </row>
    <row r="221" spans="1:3" hidden="1" outlineLevel="1">
      <c r="A221" s="12"/>
      <c r="B221" s="12" t="s">
        <v>228</v>
      </c>
      <c r="C221" s="24">
        <v>122.19</v>
      </c>
    </row>
    <row r="222" spans="1:3" hidden="1" outlineLevel="1">
      <c r="A222" s="12"/>
      <c r="B222" s="12" t="s">
        <v>229</v>
      </c>
      <c r="C222" s="24">
        <v>50</v>
      </c>
    </row>
    <row r="223" spans="1:3" collapsed="1">
      <c r="A223" s="12"/>
      <c r="B223" s="25"/>
      <c r="C223" s="26">
        <f>SUM(C81:C100)</f>
        <v>125805534.86000006</v>
      </c>
    </row>
    <row r="224" spans="1:3">
      <c r="A224" s="12"/>
      <c r="B224" s="12"/>
      <c r="C224" s="24"/>
    </row>
    <row r="225" spans="1:3">
      <c r="A225" s="47" t="s">
        <v>9</v>
      </c>
      <c r="B225" s="12" t="s">
        <v>230</v>
      </c>
      <c r="C225" s="24">
        <v>55319824</v>
      </c>
    </row>
    <row r="226" spans="1:3">
      <c r="A226" s="47"/>
      <c r="B226" s="12" t="s">
        <v>231</v>
      </c>
      <c r="C226" s="24">
        <v>9241850.5700000003</v>
      </c>
    </row>
    <row r="227" spans="1:3">
      <c r="A227" s="47"/>
      <c r="B227" s="12" t="s">
        <v>232</v>
      </c>
      <c r="C227" s="24">
        <v>5431751.9100000001</v>
      </c>
    </row>
    <row r="228" spans="1:3">
      <c r="A228" s="47"/>
      <c r="B228" s="12" t="s">
        <v>233</v>
      </c>
      <c r="C228" s="24">
        <v>3315844.9199999995</v>
      </c>
    </row>
    <row r="229" spans="1:3">
      <c r="A229" s="47"/>
      <c r="B229" s="12" t="s">
        <v>234</v>
      </c>
      <c r="C229" s="24">
        <v>3216419.94</v>
      </c>
    </row>
    <row r="230" spans="1:3">
      <c r="A230" s="47"/>
      <c r="B230" s="12" t="s">
        <v>235</v>
      </c>
      <c r="C230" s="24">
        <v>3054008.92</v>
      </c>
    </row>
    <row r="231" spans="1:3">
      <c r="A231" s="47"/>
      <c r="B231" s="12" t="s">
        <v>236</v>
      </c>
      <c r="C231" s="24">
        <v>2539762.1599999997</v>
      </c>
    </row>
    <row r="232" spans="1:3">
      <c r="A232" s="47"/>
      <c r="B232" s="12" t="s">
        <v>237</v>
      </c>
      <c r="C232" s="24">
        <v>2462275.4500000002</v>
      </c>
    </row>
    <row r="233" spans="1:3">
      <c r="A233" s="47"/>
      <c r="B233" s="12" t="s">
        <v>238</v>
      </c>
      <c r="C233" s="24">
        <v>2257449.66</v>
      </c>
    </row>
    <row r="234" spans="1:3">
      <c r="A234" s="47"/>
      <c r="B234" s="12" t="s">
        <v>239</v>
      </c>
      <c r="C234" s="24">
        <v>2200387.54</v>
      </c>
    </row>
    <row r="235" spans="1:3">
      <c r="A235" s="47"/>
      <c r="B235" s="12" t="s">
        <v>240</v>
      </c>
      <c r="C235" s="24">
        <v>1715405.8</v>
      </c>
    </row>
    <row r="236" spans="1:3">
      <c r="A236" s="47"/>
      <c r="B236" s="12" t="s">
        <v>241</v>
      </c>
      <c r="C236" s="24">
        <v>1538944.5100000002</v>
      </c>
    </row>
    <row r="237" spans="1:3">
      <c r="A237" s="47"/>
      <c r="B237" s="12" t="s">
        <v>40</v>
      </c>
      <c r="C237" s="24">
        <v>1326155.4899999998</v>
      </c>
    </row>
    <row r="238" spans="1:3">
      <c r="A238" s="47"/>
      <c r="B238" s="12" t="s">
        <v>242</v>
      </c>
      <c r="C238" s="24">
        <v>1258049.21</v>
      </c>
    </row>
    <row r="239" spans="1:3">
      <c r="A239" s="47"/>
      <c r="B239" s="12" t="s">
        <v>243</v>
      </c>
      <c r="C239" s="24">
        <v>1088297.73</v>
      </c>
    </row>
    <row r="240" spans="1:3">
      <c r="A240" s="47"/>
      <c r="B240" s="12" t="s">
        <v>244</v>
      </c>
      <c r="C240" s="24">
        <v>962588.46</v>
      </c>
    </row>
    <row r="241" spans="1:3">
      <c r="A241" s="47"/>
      <c r="B241" s="12" t="s">
        <v>245</v>
      </c>
      <c r="C241" s="24">
        <v>829944.2</v>
      </c>
    </row>
    <row r="242" spans="1:3">
      <c r="A242" s="47"/>
      <c r="B242" s="12" t="s">
        <v>246</v>
      </c>
      <c r="C242" s="24">
        <v>698632.67</v>
      </c>
    </row>
    <row r="243" spans="1:3">
      <c r="A243" s="47"/>
      <c r="B243" s="12" t="s">
        <v>117</v>
      </c>
      <c r="C243" s="24">
        <v>569004.97</v>
      </c>
    </row>
    <row r="244" spans="1:3">
      <c r="A244" s="12"/>
      <c r="B244" s="12" t="s">
        <v>247</v>
      </c>
      <c r="C244" s="24">
        <v>551043.68999999994</v>
      </c>
    </row>
    <row r="245" spans="1:3" hidden="1" outlineLevel="1">
      <c r="A245" s="12"/>
      <c r="B245" s="12" t="s">
        <v>248</v>
      </c>
      <c r="C245" s="24">
        <v>465941.91</v>
      </c>
    </row>
    <row r="246" spans="1:3" hidden="1" outlineLevel="1">
      <c r="A246" s="12"/>
      <c r="B246" s="12" t="s">
        <v>249</v>
      </c>
      <c r="C246" s="24">
        <v>434843.78</v>
      </c>
    </row>
    <row r="247" spans="1:3" hidden="1" outlineLevel="1">
      <c r="A247" s="12"/>
      <c r="B247" s="12" t="s">
        <v>250</v>
      </c>
      <c r="C247" s="24">
        <v>432944.96</v>
      </c>
    </row>
    <row r="248" spans="1:3" hidden="1" outlineLevel="1">
      <c r="A248" s="12"/>
      <c r="B248" s="12" t="s">
        <v>251</v>
      </c>
      <c r="C248" s="24">
        <v>410650.64</v>
      </c>
    </row>
    <row r="249" spans="1:3" hidden="1" outlineLevel="1">
      <c r="A249" s="12"/>
      <c r="B249" s="12" t="s">
        <v>252</v>
      </c>
      <c r="C249" s="24">
        <v>386429.69</v>
      </c>
    </row>
    <row r="250" spans="1:3" hidden="1" outlineLevel="1">
      <c r="A250" s="12"/>
      <c r="B250" s="12" t="s">
        <v>253</v>
      </c>
      <c r="C250" s="24">
        <v>332376.33</v>
      </c>
    </row>
    <row r="251" spans="1:3" hidden="1" outlineLevel="1">
      <c r="A251" s="12"/>
      <c r="B251" s="12" t="s">
        <v>254</v>
      </c>
      <c r="C251" s="24">
        <v>321550.84000000003</v>
      </c>
    </row>
    <row r="252" spans="1:3" hidden="1" outlineLevel="1">
      <c r="A252" s="12"/>
      <c r="B252" s="12" t="s">
        <v>255</v>
      </c>
      <c r="C252" s="24">
        <v>292463.18</v>
      </c>
    </row>
    <row r="253" spans="1:3" hidden="1" outlineLevel="1">
      <c r="A253" s="12"/>
      <c r="B253" s="12" t="s">
        <v>256</v>
      </c>
      <c r="C253" s="24">
        <v>271566.25</v>
      </c>
    </row>
    <row r="254" spans="1:3" hidden="1" outlineLevel="1">
      <c r="A254" s="12"/>
      <c r="B254" s="12" t="s">
        <v>257</v>
      </c>
      <c r="C254" s="24">
        <v>264031.04000000004</v>
      </c>
    </row>
    <row r="255" spans="1:3" hidden="1" outlineLevel="1">
      <c r="A255" s="12"/>
      <c r="B255" s="12" t="s">
        <v>258</v>
      </c>
      <c r="C255" s="24">
        <v>245062.86000000002</v>
      </c>
    </row>
    <row r="256" spans="1:3" hidden="1" outlineLevel="1">
      <c r="A256" s="12"/>
      <c r="B256" s="12" t="s">
        <v>60</v>
      </c>
      <c r="C256" s="24">
        <v>244516.45999999996</v>
      </c>
    </row>
    <row r="257" spans="1:3" hidden="1" outlineLevel="1">
      <c r="A257" s="12"/>
      <c r="B257" s="12" t="s">
        <v>259</v>
      </c>
      <c r="C257" s="24">
        <v>236598.8</v>
      </c>
    </row>
    <row r="258" spans="1:3" hidden="1" outlineLevel="1">
      <c r="A258" s="12"/>
      <c r="B258" s="12" t="s">
        <v>139</v>
      </c>
      <c r="C258" s="24">
        <v>216411.32</v>
      </c>
    </row>
    <row r="259" spans="1:3" hidden="1" outlineLevel="1">
      <c r="A259" s="12"/>
      <c r="B259" s="12" t="s">
        <v>260</v>
      </c>
      <c r="C259" s="24">
        <v>214662.98</v>
      </c>
    </row>
    <row r="260" spans="1:3" hidden="1" outlineLevel="1">
      <c r="A260" s="12"/>
      <c r="B260" s="12" t="s">
        <v>261</v>
      </c>
      <c r="C260" s="24">
        <v>196738.34</v>
      </c>
    </row>
    <row r="261" spans="1:3" hidden="1" outlineLevel="1">
      <c r="A261" s="12"/>
      <c r="B261" s="12" t="s">
        <v>262</v>
      </c>
      <c r="C261" s="24">
        <v>174630.39999999999</v>
      </c>
    </row>
    <row r="262" spans="1:3" hidden="1" outlineLevel="1">
      <c r="A262" s="12"/>
      <c r="B262" s="12" t="s">
        <v>263</v>
      </c>
      <c r="C262" s="24">
        <v>165862.25</v>
      </c>
    </row>
    <row r="263" spans="1:3" hidden="1" outlineLevel="1">
      <c r="A263" s="12"/>
      <c r="B263" s="12" t="s">
        <v>264</v>
      </c>
      <c r="C263" s="24">
        <v>164933.57999999999</v>
      </c>
    </row>
    <row r="264" spans="1:3" hidden="1" outlineLevel="1">
      <c r="A264" s="12"/>
      <c r="B264" s="12" t="s">
        <v>265</v>
      </c>
      <c r="C264" s="24">
        <v>156361.26999999999</v>
      </c>
    </row>
    <row r="265" spans="1:3" hidden="1" outlineLevel="1">
      <c r="A265" s="12"/>
      <c r="B265" s="12" t="s">
        <v>266</v>
      </c>
      <c r="C265" s="24">
        <v>153470.66999999998</v>
      </c>
    </row>
    <row r="266" spans="1:3" hidden="1" outlineLevel="1">
      <c r="A266" s="12"/>
      <c r="B266" s="12" t="s">
        <v>267</v>
      </c>
      <c r="C266" s="24">
        <v>149413.1</v>
      </c>
    </row>
    <row r="267" spans="1:3" hidden="1" outlineLevel="1">
      <c r="A267" s="12"/>
      <c r="B267" s="12" t="s">
        <v>268</v>
      </c>
      <c r="C267" s="24">
        <v>134013.29999999999</v>
      </c>
    </row>
    <row r="268" spans="1:3" hidden="1" outlineLevel="1">
      <c r="A268" s="12"/>
      <c r="B268" s="12" t="s">
        <v>269</v>
      </c>
      <c r="C268" s="24">
        <v>125554.15</v>
      </c>
    </row>
    <row r="269" spans="1:3" hidden="1" outlineLevel="1">
      <c r="A269" s="12"/>
      <c r="B269" s="12" t="s">
        <v>270</v>
      </c>
      <c r="C269" s="24">
        <v>119869.01</v>
      </c>
    </row>
    <row r="270" spans="1:3" hidden="1" outlineLevel="1">
      <c r="A270" s="12"/>
      <c r="B270" s="12" t="s">
        <v>271</v>
      </c>
      <c r="C270" s="24">
        <v>117977.15</v>
      </c>
    </row>
    <row r="271" spans="1:3" hidden="1" outlineLevel="1">
      <c r="A271" s="12"/>
      <c r="B271" s="12" t="s">
        <v>272</v>
      </c>
      <c r="C271" s="24">
        <v>117252.92</v>
      </c>
    </row>
    <row r="272" spans="1:3" hidden="1" outlineLevel="1">
      <c r="A272" s="12"/>
      <c r="B272" s="12" t="s">
        <v>273</v>
      </c>
      <c r="C272" s="24">
        <v>113313.23</v>
      </c>
    </row>
    <row r="273" spans="1:3" hidden="1" outlineLevel="1">
      <c r="A273" s="12"/>
      <c r="B273" s="12" t="s">
        <v>274</v>
      </c>
      <c r="C273" s="24">
        <v>111148.77</v>
      </c>
    </row>
    <row r="274" spans="1:3" hidden="1" outlineLevel="1">
      <c r="A274" s="12"/>
      <c r="B274" s="12" t="s">
        <v>275</v>
      </c>
      <c r="C274" s="24">
        <v>104222.17</v>
      </c>
    </row>
    <row r="275" spans="1:3" hidden="1" outlineLevel="1">
      <c r="A275" s="12"/>
      <c r="B275" s="12" t="s">
        <v>276</v>
      </c>
      <c r="C275" s="24">
        <v>100938.73</v>
      </c>
    </row>
    <row r="276" spans="1:3" hidden="1" outlineLevel="1">
      <c r="A276" s="12"/>
      <c r="B276" s="12" t="s">
        <v>57</v>
      </c>
      <c r="C276" s="24">
        <v>100491.36999999995</v>
      </c>
    </row>
    <row r="277" spans="1:3" hidden="1" outlineLevel="1">
      <c r="A277" s="12"/>
      <c r="B277" s="12" t="s">
        <v>277</v>
      </c>
      <c r="C277" s="24">
        <v>94126.33</v>
      </c>
    </row>
    <row r="278" spans="1:3" hidden="1" outlineLevel="1">
      <c r="A278" s="12"/>
      <c r="B278" s="12" t="s">
        <v>278</v>
      </c>
      <c r="C278" s="24">
        <v>91500</v>
      </c>
    </row>
    <row r="279" spans="1:3" hidden="1" outlineLevel="1">
      <c r="A279" s="12"/>
      <c r="B279" s="12" t="s">
        <v>279</v>
      </c>
      <c r="C279" s="24">
        <v>87145.7</v>
      </c>
    </row>
    <row r="280" spans="1:3" hidden="1" outlineLevel="1">
      <c r="A280" s="12"/>
      <c r="B280" s="12" t="s">
        <v>280</v>
      </c>
      <c r="C280" s="24">
        <v>81894.02</v>
      </c>
    </row>
    <row r="281" spans="1:3" hidden="1" outlineLevel="1">
      <c r="A281" s="12"/>
      <c r="B281" s="12" t="s">
        <v>281</v>
      </c>
      <c r="C281" s="24">
        <v>78333.679999999993</v>
      </c>
    </row>
    <row r="282" spans="1:3" hidden="1" outlineLevel="1">
      <c r="A282" s="12"/>
      <c r="B282" s="12" t="s">
        <v>282</v>
      </c>
      <c r="C282" s="24">
        <v>77864.44</v>
      </c>
    </row>
    <row r="283" spans="1:3" hidden="1" outlineLevel="1">
      <c r="A283" s="12"/>
      <c r="B283" s="12" t="s">
        <v>283</v>
      </c>
      <c r="C283" s="24">
        <v>73944.100000000006</v>
      </c>
    </row>
    <row r="284" spans="1:3" hidden="1" outlineLevel="1">
      <c r="A284" s="12"/>
      <c r="B284" s="12" t="s">
        <v>284</v>
      </c>
      <c r="C284" s="24">
        <v>72024.42</v>
      </c>
    </row>
    <row r="285" spans="1:3" hidden="1" outlineLevel="1">
      <c r="A285" s="12"/>
      <c r="B285" s="12" t="s">
        <v>285</v>
      </c>
      <c r="C285" s="24">
        <v>71965.179999999993</v>
      </c>
    </row>
    <row r="286" spans="1:3" hidden="1" outlineLevel="1">
      <c r="A286" s="12"/>
      <c r="B286" s="12" t="s">
        <v>286</v>
      </c>
      <c r="C286" s="24">
        <v>71200</v>
      </c>
    </row>
    <row r="287" spans="1:3" hidden="1" outlineLevel="1">
      <c r="A287" s="12"/>
      <c r="B287" s="12" t="s">
        <v>63</v>
      </c>
      <c r="C287" s="24">
        <v>64047.67</v>
      </c>
    </row>
    <row r="288" spans="1:3" hidden="1" outlineLevel="1">
      <c r="A288" s="12"/>
      <c r="B288" s="12" t="s">
        <v>67</v>
      </c>
      <c r="C288" s="24">
        <v>61050.210000000006</v>
      </c>
    </row>
    <row r="289" spans="1:3" hidden="1" outlineLevel="1">
      <c r="A289" s="12"/>
      <c r="B289" s="12" t="s">
        <v>287</v>
      </c>
      <c r="C289" s="24">
        <v>58370.239999999998</v>
      </c>
    </row>
    <row r="290" spans="1:3" hidden="1" outlineLevel="1">
      <c r="A290" s="12"/>
      <c r="B290" s="12" t="s">
        <v>288</v>
      </c>
      <c r="C290" s="24">
        <v>51309.02</v>
      </c>
    </row>
    <row r="291" spans="1:3" hidden="1" outlineLevel="1">
      <c r="A291" s="12"/>
      <c r="B291" s="12" t="s">
        <v>70</v>
      </c>
      <c r="C291" s="24">
        <v>51035.58</v>
      </c>
    </row>
    <row r="292" spans="1:3" hidden="1" outlineLevel="1">
      <c r="A292" s="12"/>
      <c r="B292" s="12" t="s">
        <v>289</v>
      </c>
      <c r="C292" s="24">
        <v>45141.760000000002</v>
      </c>
    </row>
    <row r="293" spans="1:3" hidden="1" outlineLevel="1">
      <c r="A293" s="12"/>
      <c r="B293" s="12" t="s">
        <v>290</v>
      </c>
      <c r="C293" s="24">
        <v>44004.89</v>
      </c>
    </row>
    <row r="294" spans="1:3" hidden="1" outlineLevel="1">
      <c r="A294" s="12"/>
      <c r="B294" s="12" t="s">
        <v>291</v>
      </c>
      <c r="C294" s="24">
        <v>40814.93</v>
      </c>
    </row>
    <row r="295" spans="1:3" hidden="1" outlineLevel="1">
      <c r="A295" s="12"/>
      <c r="B295" s="12" t="s">
        <v>292</v>
      </c>
      <c r="C295" s="24">
        <v>38393.870000000003</v>
      </c>
    </row>
    <row r="296" spans="1:3" hidden="1" outlineLevel="1">
      <c r="A296" s="12"/>
      <c r="B296" s="12" t="s">
        <v>293</v>
      </c>
      <c r="C296" s="24">
        <v>37091.980000000003</v>
      </c>
    </row>
    <row r="297" spans="1:3" hidden="1" outlineLevel="1">
      <c r="A297" s="12"/>
      <c r="B297" s="12" t="s">
        <v>294</v>
      </c>
      <c r="C297" s="24">
        <v>35726.49</v>
      </c>
    </row>
    <row r="298" spans="1:3" hidden="1" outlineLevel="1">
      <c r="A298" s="12"/>
      <c r="B298" s="12" t="s">
        <v>295</v>
      </c>
      <c r="C298" s="24">
        <v>35174.959999999999</v>
      </c>
    </row>
    <row r="299" spans="1:3" hidden="1" outlineLevel="1">
      <c r="A299" s="12"/>
      <c r="B299" s="12" t="s">
        <v>296</v>
      </c>
      <c r="C299" s="24">
        <v>32765.25</v>
      </c>
    </row>
    <row r="300" spans="1:3" hidden="1" outlineLevel="1">
      <c r="A300" s="12"/>
      <c r="B300" s="12" t="s">
        <v>297</v>
      </c>
      <c r="C300" s="24">
        <v>30252.639999999999</v>
      </c>
    </row>
    <row r="301" spans="1:3" hidden="1" outlineLevel="1">
      <c r="A301" s="12"/>
      <c r="B301" s="12" t="s">
        <v>88</v>
      </c>
      <c r="C301" s="24">
        <v>30231.420000000002</v>
      </c>
    </row>
    <row r="302" spans="1:3" hidden="1" outlineLevel="1">
      <c r="A302" s="12"/>
      <c r="B302" s="12" t="s">
        <v>298</v>
      </c>
      <c r="C302" s="24">
        <v>27933.24</v>
      </c>
    </row>
    <row r="303" spans="1:3" hidden="1" outlineLevel="1">
      <c r="A303" s="12"/>
      <c r="B303" s="12" t="s">
        <v>299</v>
      </c>
      <c r="C303" s="24">
        <v>24862.44</v>
      </c>
    </row>
    <row r="304" spans="1:3" hidden="1" outlineLevel="1">
      <c r="A304" s="12"/>
      <c r="B304" s="12" t="s">
        <v>300</v>
      </c>
      <c r="C304" s="24">
        <v>20818.18</v>
      </c>
    </row>
    <row r="305" spans="1:3" hidden="1" outlineLevel="1">
      <c r="A305" s="12"/>
      <c r="B305" s="12" t="s">
        <v>301</v>
      </c>
      <c r="C305" s="24">
        <v>19407.990000000002</v>
      </c>
    </row>
    <row r="306" spans="1:3" hidden="1" outlineLevel="1">
      <c r="A306" s="12"/>
      <c r="B306" s="12" t="s">
        <v>302</v>
      </c>
      <c r="C306" s="24">
        <v>18375</v>
      </c>
    </row>
    <row r="307" spans="1:3" hidden="1" outlineLevel="1">
      <c r="A307" s="12"/>
      <c r="B307" s="12" t="s">
        <v>303</v>
      </c>
      <c r="C307" s="24">
        <v>18329.629999999997</v>
      </c>
    </row>
    <row r="308" spans="1:3" hidden="1" outlineLevel="1">
      <c r="A308" s="12"/>
      <c r="B308" s="12" t="s">
        <v>304</v>
      </c>
      <c r="C308" s="24">
        <v>16972.22</v>
      </c>
    </row>
    <row r="309" spans="1:3" hidden="1" outlineLevel="1">
      <c r="A309" s="12"/>
      <c r="B309" s="12" t="s">
        <v>305</v>
      </c>
      <c r="C309" s="24">
        <v>16500</v>
      </c>
    </row>
    <row r="310" spans="1:3" hidden="1" outlineLevel="1">
      <c r="A310" s="12"/>
      <c r="B310" s="12" t="s">
        <v>306</v>
      </c>
      <c r="C310" s="24">
        <v>16234.37</v>
      </c>
    </row>
    <row r="311" spans="1:3" hidden="1" outlineLevel="1">
      <c r="A311" s="12"/>
      <c r="B311" s="12" t="s">
        <v>307</v>
      </c>
      <c r="C311" s="24">
        <v>16013.32</v>
      </c>
    </row>
    <row r="312" spans="1:3" hidden="1" outlineLevel="1">
      <c r="A312" s="12"/>
      <c r="B312" s="12" t="s">
        <v>80</v>
      </c>
      <c r="C312" s="24">
        <v>15111.1</v>
      </c>
    </row>
    <row r="313" spans="1:3" hidden="1" outlineLevel="1">
      <c r="A313" s="12"/>
      <c r="B313" s="12" t="s">
        <v>189</v>
      </c>
      <c r="C313" s="24">
        <v>14230.72</v>
      </c>
    </row>
    <row r="314" spans="1:3" hidden="1" outlineLevel="1">
      <c r="A314" s="12"/>
      <c r="B314" s="12" t="s">
        <v>30</v>
      </c>
      <c r="C314" s="24">
        <v>13144.11</v>
      </c>
    </row>
    <row r="315" spans="1:3" hidden="1" outlineLevel="1">
      <c r="A315" s="12"/>
      <c r="B315" s="12" t="s">
        <v>83</v>
      </c>
      <c r="C315" s="24">
        <v>12921.08</v>
      </c>
    </row>
    <row r="316" spans="1:3" hidden="1" outlineLevel="1">
      <c r="A316" s="12"/>
      <c r="B316" s="12" t="s">
        <v>308</v>
      </c>
      <c r="C316" s="24">
        <v>9009.6299999999992</v>
      </c>
    </row>
    <row r="317" spans="1:3" hidden="1" outlineLevel="1">
      <c r="A317" s="12"/>
      <c r="B317" s="12" t="s">
        <v>309</v>
      </c>
      <c r="C317" s="24">
        <v>8847.33</v>
      </c>
    </row>
    <row r="318" spans="1:3" hidden="1" outlineLevel="1">
      <c r="A318" s="12"/>
      <c r="B318" s="12" t="s">
        <v>310</v>
      </c>
      <c r="C318" s="24">
        <v>8491.73</v>
      </c>
    </row>
    <row r="319" spans="1:3" hidden="1" outlineLevel="1">
      <c r="A319" s="12"/>
      <c r="B319" s="12" t="s">
        <v>191</v>
      </c>
      <c r="C319" s="24">
        <v>8487.26</v>
      </c>
    </row>
    <row r="320" spans="1:3" hidden="1" outlineLevel="1">
      <c r="A320" s="12"/>
      <c r="B320" s="12" t="s">
        <v>81</v>
      </c>
      <c r="C320" s="24">
        <v>7052.24</v>
      </c>
    </row>
    <row r="321" spans="1:3" hidden="1" outlineLevel="1">
      <c r="A321" s="12"/>
      <c r="B321" s="12" t="s">
        <v>95</v>
      </c>
      <c r="C321" s="24">
        <v>6890.7699999999986</v>
      </c>
    </row>
    <row r="322" spans="1:3" hidden="1" outlineLevel="1">
      <c r="A322" s="12"/>
      <c r="B322" s="12" t="s">
        <v>75</v>
      </c>
      <c r="C322" s="24">
        <v>6855.2</v>
      </c>
    </row>
    <row r="323" spans="1:3" hidden="1" outlineLevel="1">
      <c r="A323" s="12"/>
      <c r="B323" s="12" t="s">
        <v>72</v>
      </c>
      <c r="C323" s="24">
        <v>6555.51</v>
      </c>
    </row>
    <row r="324" spans="1:3" hidden="1" outlineLevel="1">
      <c r="A324" s="12"/>
      <c r="B324" s="12" t="s">
        <v>311</v>
      </c>
      <c r="C324" s="24">
        <v>6464.4</v>
      </c>
    </row>
    <row r="325" spans="1:3" hidden="1" outlineLevel="1">
      <c r="A325" s="12"/>
      <c r="B325" s="12" t="s">
        <v>76</v>
      </c>
      <c r="C325" s="24">
        <v>5437.62</v>
      </c>
    </row>
    <row r="326" spans="1:3" hidden="1" outlineLevel="1">
      <c r="A326" s="12"/>
      <c r="B326" s="12" t="s">
        <v>96</v>
      </c>
      <c r="C326" s="24">
        <v>5283.06</v>
      </c>
    </row>
    <row r="327" spans="1:3" hidden="1" outlineLevel="1">
      <c r="A327" s="12"/>
      <c r="B327" s="12" t="s">
        <v>312</v>
      </c>
      <c r="C327" s="24">
        <v>5040</v>
      </c>
    </row>
    <row r="328" spans="1:3" hidden="1" outlineLevel="1">
      <c r="A328" s="12"/>
      <c r="B328" s="12" t="s">
        <v>313</v>
      </c>
      <c r="C328" s="24">
        <v>4950</v>
      </c>
    </row>
    <row r="329" spans="1:3" hidden="1" outlineLevel="1">
      <c r="A329" s="12"/>
      <c r="B329" s="12" t="s">
        <v>314</v>
      </c>
      <c r="C329" s="24">
        <v>4546</v>
      </c>
    </row>
    <row r="330" spans="1:3" hidden="1" outlineLevel="1">
      <c r="A330" s="12"/>
      <c r="B330" s="12" t="s">
        <v>86</v>
      </c>
      <c r="C330" s="24">
        <v>4503.21</v>
      </c>
    </row>
    <row r="331" spans="1:3" hidden="1" outlineLevel="1">
      <c r="A331" s="12"/>
      <c r="B331" s="12" t="s">
        <v>85</v>
      </c>
      <c r="C331" s="24">
        <v>4430.6900000000005</v>
      </c>
    </row>
    <row r="332" spans="1:3" hidden="1" outlineLevel="1">
      <c r="A332" s="12"/>
      <c r="B332" s="12" t="s">
        <v>315</v>
      </c>
      <c r="C332" s="24">
        <v>4083.76</v>
      </c>
    </row>
    <row r="333" spans="1:3" hidden="1" outlineLevel="1">
      <c r="A333" s="12"/>
      <c r="B333" s="12" t="s">
        <v>84</v>
      </c>
      <c r="C333" s="24">
        <v>3657.27</v>
      </c>
    </row>
    <row r="334" spans="1:3" hidden="1" outlineLevel="1">
      <c r="A334" s="12"/>
      <c r="B334" s="12" t="s">
        <v>316</v>
      </c>
      <c r="C334" s="24">
        <v>3237.2</v>
      </c>
    </row>
    <row r="335" spans="1:3" hidden="1" outlineLevel="1">
      <c r="A335" s="12"/>
      <c r="B335" s="12" t="s">
        <v>317</v>
      </c>
      <c r="C335" s="24">
        <v>2800</v>
      </c>
    </row>
    <row r="336" spans="1:3" hidden="1" outlineLevel="1">
      <c r="A336" s="12"/>
      <c r="B336" s="12" t="s">
        <v>318</v>
      </c>
      <c r="C336" s="24">
        <v>2600</v>
      </c>
    </row>
    <row r="337" spans="1:3" hidden="1" outlineLevel="1">
      <c r="A337" s="12"/>
      <c r="B337" s="12" t="s">
        <v>319</v>
      </c>
      <c r="C337" s="24">
        <v>2560.83</v>
      </c>
    </row>
    <row r="338" spans="1:3" hidden="1" outlineLevel="1">
      <c r="A338" s="12"/>
      <c r="B338" s="12" t="s">
        <v>320</v>
      </c>
      <c r="C338" s="24">
        <v>1800</v>
      </c>
    </row>
    <row r="339" spans="1:3" hidden="1" outlineLevel="1">
      <c r="A339" s="12"/>
      <c r="B339" s="12" t="s">
        <v>321</v>
      </c>
      <c r="C339" s="24">
        <v>1250</v>
      </c>
    </row>
    <row r="340" spans="1:3" hidden="1" outlineLevel="1">
      <c r="A340" s="12"/>
      <c r="B340" s="12" t="s">
        <v>322</v>
      </c>
      <c r="C340" s="24">
        <v>1189.9000000000001</v>
      </c>
    </row>
    <row r="341" spans="1:3" hidden="1" outlineLevel="1">
      <c r="A341" s="12"/>
      <c r="B341" s="12" t="s">
        <v>323</v>
      </c>
      <c r="C341" s="24">
        <v>1136.93</v>
      </c>
    </row>
    <row r="342" spans="1:3" hidden="1" outlineLevel="1">
      <c r="A342" s="12"/>
      <c r="B342" s="12" t="s">
        <v>324</v>
      </c>
      <c r="C342" s="24">
        <v>900</v>
      </c>
    </row>
    <row r="343" spans="1:3" hidden="1" outlineLevel="1">
      <c r="A343" s="12"/>
      <c r="B343" s="12" t="s">
        <v>325</v>
      </c>
      <c r="C343" s="24">
        <v>853.33</v>
      </c>
    </row>
    <row r="344" spans="1:3" hidden="1" outlineLevel="1">
      <c r="A344" s="12"/>
      <c r="B344" s="12" t="s">
        <v>90</v>
      </c>
      <c r="C344" s="24">
        <v>849.98</v>
      </c>
    </row>
    <row r="345" spans="1:3" hidden="1" outlineLevel="1">
      <c r="A345" s="12"/>
      <c r="B345" s="12" t="s">
        <v>326</v>
      </c>
      <c r="C345" s="24">
        <v>820.62000000000012</v>
      </c>
    </row>
    <row r="346" spans="1:3" hidden="1" outlineLevel="1">
      <c r="A346" s="12"/>
      <c r="B346" s="12" t="s">
        <v>327</v>
      </c>
      <c r="C346" s="24">
        <v>588.5</v>
      </c>
    </row>
    <row r="347" spans="1:3" hidden="1" outlineLevel="1">
      <c r="A347" s="12"/>
      <c r="B347" s="12" t="s">
        <v>328</v>
      </c>
      <c r="C347" s="24">
        <v>514.75</v>
      </c>
    </row>
    <row r="348" spans="1:3" hidden="1" outlineLevel="1">
      <c r="A348" s="12"/>
      <c r="B348" s="12" t="s">
        <v>329</v>
      </c>
      <c r="C348" s="24">
        <v>400</v>
      </c>
    </row>
    <row r="349" spans="1:3" hidden="1" outlineLevel="1">
      <c r="A349" s="12"/>
      <c r="B349" s="12" t="s">
        <v>330</v>
      </c>
      <c r="C349" s="24">
        <v>185.38</v>
      </c>
    </row>
    <row r="350" spans="1:3" hidden="1" outlineLevel="1">
      <c r="A350" s="12"/>
      <c r="B350" s="12" t="s">
        <v>331</v>
      </c>
      <c r="C350" s="24">
        <v>99.01</v>
      </c>
    </row>
    <row r="351" spans="1:3" hidden="1" outlineLevel="1">
      <c r="A351" s="12"/>
      <c r="B351" s="12" t="s">
        <v>332</v>
      </c>
      <c r="C351" s="24">
        <v>27.03</v>
      </c>
    </row>
    <row r="352" spans="1:3" collapsed="1">
      <c r="A352" s="12"/>
      <c r="B352" s="25"/>
      <c r="C352" s="26">
        <f>SUM(C225:C244)</f>
        <v>99577641.799999997</v>
      </c>
    </row>
    <row r="353" spans="1:3">
      <c r="A353" s="12"/>
      <c r="B353" s="12"/>
      <c r="C353" s="24"/>
    </row>
    <row r="354" spans="1:3">
      <c r="A354" s="12"/>
      <c r="B354" s="12"/>
      <c r="C354" s="24"/>
    </row>
    <row r="355" spans="1:3">
      <c r="A355" s="47" t="s">
        <v>8</v>
      </c>
      <c r="B355" s="12" t="s">
        <v>333</v>
      </c>
      <c r="C355" s="24">
        <v>21587095.699999999</v>
      </c>
    </row>
    <row r="356" spans="1:3">
      <c r="A356" s="47"/>
      <c r="B356" s="12" t="s">
        <v>334</v>
      </c>
      <c r="C356" s="24">
        <v>20092343.359999999</v>
      </c>
    </row>
    <row r="357" spans="1:3">
      <c r="A357" s="47"/>
      <c r="B357" s="12" t="s">
        <v>335</v>
      </c>
      <c r="C357" s="24">
        <v>8708288.0800000001</v>
      </c>
    </row>
    <row r="358" spans="1:3">
      <c r="A358" s="47"/>
      <c r="B358" s="12" t="s">
        <v>336</v>
      </c>
      <c r="C358" s="24">
        <v>6445885.7999999998</v>
      </c>
    </row>
    <row r="359" spans="1:3">
      <c r="A359" s="47"/>
      <c r="B359" s="12" t="s">
        <v>337</v>
      </c>
      <c r="C359" s="24">
        <v>5103716.1399999997</v>
      </c>
    </row>
    <row r="360" spans="1:3">
      <c r="A360" s="47"/>
      <c r="B360" s="12" t="s">
        <v>338</v>
      </c>
      <c r="C360" s="24">
        <v>5082314.3600000003</v>
      </c>
    </row>
    <row r="361" spans="1:3">
      <c r="A361" s="47"/>
      <c r="B361" s="12" t="s">
        <v>339</v>
      </c>
      <c r="C361" s="24">
        <v>3712839.36</v>
      </c>
    </row>
    <row r="362" spans="1:3">
      <c r="A362" s="47"/>
      <c r="B362" s="12" t="s">
        <v>340</v>
      </c>
      <c r="C362" s="24">
        <v>3016163.92</v>
      </c>
    </row>
    <row r="363" spans="1:3">
      <c r="A363" s="47"/>
      <c r="B363" s="12" t="s">
        <v>341</v>
      </c>
      <c r="C363" s="24">
        <v>2906384.1</v>
      </c>
    </row>
    <row r="364" spans="1:3">
      <c r="A364" s="47"/>
      <c r="B364" s="12" t="s">
        <v>342</v>
      </c>
      <c r="C364" s="24">
        <v>1636097.1</v>
      </c>
    </row>
    <row r="365" spans="1:3">
      <c r="A365" s="47"/>
      <c r="B365" s="12" t="s">
        <v>343</v>
      </c>
      <c r="C365" s="24">
        <v>1154111.81</v>
      </c>
    </row>
    <row r="366" spans="1:3">
      <c r="A366" s="47"/>
      <c r="B366" s="12" t="s">
        <v>344</v>
      </c>
      <c r="C366" s="24">
        <v>785485.65</v>
      </c>
    </row>
    <row r="367" spans="1:3">
      <c r="A367" s="47"/>
      <c r="B367" s="12" t="s">
        <v>345</v>
      </c>
      <c r="C367" s="24">
        <v>784266.04</v>
      </c>
    </row>
    <row r="368" spans="1:3">
      <c r="A368" s="47"/>
      <c r="B368" s="12" t="s">
        <v>346</v>
      </c>
      <c r="C368" s="24">
        <v>563749.34</v>
      </c>
    </row>
    <row r="369" spans="1:3">
      <c r="A369" s="47"/>
      <c r="B369" s="12" t="s">
        <v>347</v>
      </c>
      <c r="C369" s="24">
        <v>482476.22</v>
      </c>
    </row>
    <row r="370" spans="1:3">
      <c r="A370" s="47"/>
      <c r="B370" s="12" t="s">
        <v>348</v>
      </c>
      <c r="C370" s="24">
        <v>331540.90999999997</v>
      </c>
    </row>
    <row r="371" spans="1:3">
      <c r="A371" s="47"/>
      <c r="B371" s="12" t="s">
        <v>65</v>
      </c>
      <c r="C371" s="24">
        <v>286749.98</v>
      </c>
    </row>
    <row r="372" spans="1:3">
      <c r="A372" s="47"/>
      <c r="B372" s="12" t="s">
        <v>349</v>
      </c>
      <c r="C372" s="24">
        <v>228733.46</v>
      </c>
    </row>
    <row r="373" spans="1:3">
      <c r="A373" s="47"/>
      <c r="B373" s="12" t="s">
        <v>350</v>
      </c>
      <c r="C373" s="24">
        <v>223928.2</v>
      </c>
    </row>
    <row r="374" spans="1:3">
      <c r="A374" s="47"/>
      <c r="B374" s="12" t="s">
        <v>351</v>
      </c>
      <c r="C374" s="24">
        <v>223758.92</v>
      </c>
    </row>
    <row r="375" spans="1:3" hidden="1" outlineLevel="1">
      <c r="A375" s="12"/>
      <c r="B375" s="12" t="s">
        <v>352</v>
      </c>
      <c r="C375" s="24">
        <v>198000</v>
      </c>
    </row>
    <row r="376" spans="1:3" hidden="1" outlineLevel="1">
      <c r="A376" s="12"/>
      <c r="B376" s="12" t="s">
        <v>353</v>
      </c>
      <c r="C376" s="24">
        <v>184277</v>
      </c>
    </row>
    <row r="377" spans="1:3" hidden="1" outlineLevel="1">
      <c r="A377" s="12"/>
      <c r="B377" s="12" t="s">
        <v>354</v>
      </c>
      <c r="C377" s="24">
        <v>178500</v>
      </c>
    </row>
    <row r="378" spans="1:3" hidden="1" outlineLevel="1">
      <c r="A378" s="12"/>
      <c r="B378" s="12" t="s">
        <v>256</v>
      </c>
      <c r="C378" s="24">
        <v>135783.13</v>
      </c>
    </row>
    <row r="379" spans="1:3" hidden="1" outlineLevel="1">
      <c r="A379" s="12"/>
      <c r="B379" s="12" t="s">
        <v>286</v>
      </c>
      <c r="C379" s="24">
        <v>124600</v>
      </c>
    </row>
    <row r="380" spans="1:3" hidden="1" outlineLevel="1">
      <c r="A380" s="12"/>
      <c r="B380" s="12" t="s">
        <v>355</v>
      </c>
      <c r="C380" s="24">
        <v>113234.61000000002</v>
      </c>
    </row>
    <row r="381" spans="1:3" hidden="1" outlineLevel="1">
      <c r="A381" s="12"/>
      <c r="B381" s="12" t="s">
        <v>70</v>
      </c>
      <c r="C381" s="24">
        <v>110577.11</v>
      </c>
    </row>
    <row r="382" spans="1:3" hidden="1" outlineLevel="1">
      <c r="A382" s="12"/>
      <c r="B382" s="12" t="s">
        <v>356</v>
      </c>
      <c r="C382" s="24">
        <v>103312.31</v>
      </c>
    </row>
    <row r="383" spans="1:3" hidden="1" outlineLevel="1">
      <c r="A383" s="12"/>
      <c r="B383" s="12" t="s">
        <v>357</v>
      </c>
      <c r="C383" s="24">
        <v>102080.11</v>
      </c>
    </row>
    <row r="384" spans="1:3" hidden="1" outlineLevel="1">
      <c r="A384" s="12"/>
      <c r="B384" s="12" t="s">
        <v>358</v>
      </c>
      <c r="C384" s="24">
        <v>99586.99</v>
      </c>
    </row>
    <row r="385" spans="1:3" hidden="1" outlineLevel="1">
      <c r="A385" s="12"/>
      <c r="B385" s="12" t="s">
        <v>359</v>
      </c>
      <c r="C385" s="24">
        <v>98148.99</v>
      </c>
    </row>
    <row r="386" spans="1:3" hidden="1" outlineLevel="1">
      <c r="A386" s="12"/>
      <c r="B386" s="12" t="s">
        <v>360</v>
      </c>
      <c r="C386" s="24">
        <v>80543.649999999994</v>
      </c>
    </row>
    <row r="387" spans="1:3" hidden="1" outlineLevel="1">
      <c r="A387" s="12"/>
      <c r="B387" s="12" t="s">
        <v>361</v>
      </c>
      <c r="C387" s="24">
        <v>80212.990000000005</v>
      </c>
    </row>
    <row r="388" spans="1:3" hidden="1" outlineLevel="1">
      <c r="A388" s="12"/>
      <c r="B388" s="12" t="s">
        <v>362</v>
      </c>
      <c r="C388" s="24">
        <v>71400</v>
      </c>
    </row>
    <row r="389" spans="1:3" hidden="1" outlineLevel="1">
      <c r="A389" s="12"/>
      <c r="B389" s="12" t="s">
        <v>363</v>
      </c>
      <c r="C389" s="24">
        <v>69606.47</v>
      </c>
    </row>
    <row r="390" spans="1:3" hidden="1" outlineLevel="1">
      <c r="A390" s="12"/>
      <c r="B390" s="12" t="s">
        <v>364</v>
      </c>
      <c r="C390" s="24">
        <v>66033.570000000007</v>
      </c>
    </row>
    <row r="391" spans="1:3" hidden="1" outlineLevel="1">
      <c r="A391" s="12"/>
      <c r="B391" s="12" t="s">
        <v>365</v>
      </c>
      <c r="C391" s="24">
        <v>65466.27</v>
      </c>
    </row>
    <row r="392" spans="1:3" hidden="1" outlineLevel="1">
      <c r="A392" s="12"/>
      <c r="B392" s="12" t="s">
        <v>366</v>
      </c>
      <c r="C392" s="24">
        <v>61568.639999999999</v>
      </c>
    </row>
    <row r="393" spans="1:3" hidden="1" outlineLevel="1">
      <c r="A393" s="12"/>
      <c r="B393" s="12" t="s">
        <v>367</v>
      </c>
      <c r="C393" s="24">
        <v>55771.49</v>
      </c>
    </row>
    <row r="394" spans="1:3" hidden="1" outlineLevel="1">
      <c r="A394" s="12"/>
      <c r="B394" s="12" t="s">
        <v>60</v>
      </c>
      <c r="C394" s="24">
        <v>54337</v>
      </c>
    </row>
    <row r="395" spans="1:3" hidden="1" outlineLevel="1">
      <c r="A395" s="12"/>
      <c r="B395" s="12" t="s">
        <v>368</v>
      </c>
      <c r="C395" s="24">
        <v>52600.5</v>
      </c>
    </row>
    <row r="396" spans="1:3" hidden="1" outlineLevel="1">
      <c r="A396" s="12"/>
      <c r="B396" s="12" t="s">
        <v>369</v>
      </c>
      <c r="C396" s="24">
        <v>51988.990000000005</v>
      </c>
    </row>
    <row r="397" spans="1:3" hidden="1" outlineLevel="1">
      <c r="A397" s="12"/>
      <c r="B397" s="12" t="s">
        <v>370</v>
      </c>
      <c r="C397" s="24">
        <v>50201.36</v>
      </c>
    </row>
    <row r="398" spans="1:3" hidden="1" outlineLevel="1">
      <c r="A398" s="12"/>
      <c r="B398" s="12" t="s">
        <v>371</v>
      </c>
      <c r="C398" s="24">
        <v>45600</v>
      </c>
    </row>
    <row r="399" spans="1:3" hidden="1" outlineLevel="1">
      <c r="A399" s="12"/>
      <c r="B399" s="12" t="s">
        <v>372</v>
      </c>
      <c r="C399" s="24">
        <v>44801.229999999996</v>
      </c>
    </row>
    <row r="400" spans="1:3" hidden="1" outlineLevel="1">
      <c r="A400" s="12"/>
      <c r="B400" s="12" t="s">
        <v>373</v>
      </c>
      <c r="C400" s="24">
        <v>44188.08</v>
      </c>
    </row>
    <row r="401" spans="1:3" hidden="1" outlineLevel="1">
      <c r="A401" s="12"/>
      <c r="B401" s="12" t="s">
        <v>374</v>
      </c>
      <c r="C401" s="24">
        <v>42500</v>
      </c>
    </row>
    <row r="402" spans="1:3" hidden="1" outlineLevel="1">
      <c r="A402" s="12"/>
      <c r="B402" s="12" t="s">
        <v>375</v>
      </c>
      <c r="C402" s="24">
        <v>41140.68</v>
      </c>
    </row>
    <row r="403" spans="1:3" hidden="1" outlineLevel="1">
      <c r="A403" s="12"/>
      <c r="B403" s="12" t="s">
        <v>376</v>
      </c>
      <c r="C403" s="24">
        <v>37913.06</v>
      </c>
    </row>
    <row r="404" spans="1:3" hidden="1" outlineLevel="1">
      <c r="A404" s="12"/>
      <c r="B404" s="12" t="s">
        <v>377</v>
      </c>
      <c r="C404" s="24">
        <v>37552.03</v>
      </c>
    </row>
    <row r="405" spans="1:3" hidden="1" outlineLevel="1">
      <c r="A405" s="12"/>
      <c r="B405" s="12" t="s">
        <v>67</v>
      </c>
      <c r="C405" s="24">
        <v>37000.1</v>
      </c>
    </row>
    <row r="406" spans="1:3" hidden="1" outlineLevel="1">
      <c r="A406" s="12"/>
      <c r="B406" s="12" t="s">
        <v>171</v>
      </c>
      <c r="C406" s="24">
        <v>35753.729999999996</v>
      </c>
    </row>
    <row r="407" spans="1:3" hidden="1" outlineLevel="1">
      <c r="A407" s="12"/>
      <c r="B407" s="12" t="s">
        <v>378</v>
      </c>
      <c r="C407" s="24">
        <v>35504.65</v>
      </c>
    </row>
    <row r="408" spans="1:3" hidden="1" outlineLevel="1">
      <c r="A408" s="12"/>
      <c r="B408" s="12" t="s">
        <v>379</v>
      </c>
      <c r="C408" s="24">
        <v>31782.65</v>
      </c>
    </row>
    <row r="409" spans="1:3" hidden="1" outlineLevel="1">
      <c r="A409" s="12"/>
      <c r="B409" s="12" t="s">
        <v>285</v>
      </c>
      <c r="C409" s="24">
        <v>31516.32</v>
      </c>
    </row>
    <row r="410" spans="1:3" hidden="1" outlineLevel="1">
      <c r="A410" s="12"/>
      <c r="B410" s="12" t="s">
        <v>380</v>
      </c>
      <c r="C410" s="24">
        <v>28704.41</v>
      </c>
    </row>
    <row r="411" spans="1:3" hidden="1" outlineLevel="1">
      <c r="A411" s="12"/>
      <c r="B411" s="12" t="s">
        <v>381</v>
      </c>
      <c r="C411" s="24">
        <v>27319.24</v>
      </c>
    </row>
    <row r="412" spans="1:3" hidden="1" outlineLevel="1">
      <c r="A412" s="12"/>
      <c r="B412" s="12" t="s">
        <v>382</v>
      </c>
      <c r="C412" s="24">
        <v>27219.43</v>
      </c>
    </row>
    <row r="413" spans="1:3" hidden="1" outlineLevel="1">
      <c r="A413" s="12"/>
      <c r="B413" s="12" t="s">
        <v>83</v>
      </c>
      <c r="C413" s="24">
        <v>25842.17</v>
      </c>
    </row>
    <row r="414" spans="1:3" hidden="1" outlineLevel="1">
      <c r="A414" s="12"/>
      <c r="B414" s="12" t="s">
        <v>383</v>
      </c>
      <c r="C414" s="24">
        <v>23900.9</v>
      </c>
    </row>
    <row r="415" spans="1:3" hidden="1" outlineLevel="1">
      <c r="A415" s="12"/>
      <c r="B415" s="12" t="s">
        <v>384</v>
      </c>
      <c r="C415" s="24">
        <v>21494.41</v>
      </c>
    </row>
    <row r="416" spans="1:3" hidden="1" outlineLevel="1">
      <c r="A416" s="12"/>
      <c r="B416" s="12" t="s">
        <v>385</v>
      </c>
      <c r="C416" s="24">
        <v>19409.71</v>
      </c>
    </row>
    <row r="417" spans="1:3" hidden="1" outlineLevel="1">
      <c r="A417" s="12"/>
      <c r="B417" s="12" t="s">
        <v>204</v>
      </c>
      <c r="C417" s="24">
        <v>19086.099999999999</v>
      </c>
    </row>
    <row r="418" spans="1:3" hidden="1" outlineLevel="1">
      <c r="A418" s="12"/>
      <c r="B418" s="12" t="s">
        <v>386</v>
      </c>
      <c r="C418" s="24">
        <v>17310.27</v>
      </c>
    </row>
    <row r="419" spans="1:3" hidden="1" outlineLevel="1">
      <c r="A419" s="12"/>
      <c r="B419" s="12" t="s">
        <v>387</v>
      </c>
      <c r="C419" s="24">
        <v>10545.289999999999</v>
      </c>
    </row>
    <row r="420" spans="1:3" hidden="1" outlineLevel="1">
      <c r="A420" s="12"/>
      <c r="B420" s="12" t="s">
        <v>388</v>
      </c>
      <c r="C420" s="24">
        <v>10032.76</v>
      </c>
    </row>
    <row r="421" spans="1:3" hidden="1" outlineLevel="1">
      <c r="A421" s="12"/>
      <c r="B421" s="12" t="s">
        <v>72</v>
      </c>
      <c r="C421" s="24">
        <v>9743.26</v>
      </c>
    </row>
    <row r="422" spans="1:3" hidden="1" outlineLevel="1">
      <c r="A422" s="12"/>
      <c r="B422" s="12" t="s">
        <v>389</v>
      </c>
      <c r="C422" s="24">
        <v>8733.1</v>
      </c>
    </row>
    <row r="423" spans="1:3" hidden="1" outlineLevel="1">
      <c r="A423" s="12"/>
      <c r="B423" s="12" t="s">
        <v>390</v>
      </c>
      <c r="C423" s="24">
        <v>7704.4</v>
      </c>
    </row>
    <row r="424" spans="1:3" hidden="1" outlineLevel="1">
      <c r="A424" s="12"/>
      <c r="B424" s="12" t="s">
        <v>391</v>
      </c>
      <c r="C424" s="24">
        <v>6575.18</v>
      </c>
    </row>
    <row r="425" spans="1:3" hidden="1" outlineLevel="1">
      <c r="A425" s="12"/>
      <c r="B425" s="12" t="s">
        <v>392</v>
      </c>
      <c r="C425" s="24">
        <v>6197.59</v>
      </c>
    </row>
    <row r="426" spans="1:3" hidden="1" outlineLevel="1">
      <c r="A426" s="12"/>
      <c r="B426" s="12" t="s">
        <v>393</v>
      </c>
      <c r="C426" s="24">
        <v>5840.48</v>
      </c>
    </row>
    <row r="427" spans="1:3" hidden="1" outlineLevel="1">
      <c r="A427" s="12"/>
      <c r="B427" s="12" t="s">
        <v>394</v>
      </c>
      <c r="C427" s="24">
        <v>5544.71</v>
      </c>
    </row>
    <row r="428" spans="1:3" hidden="1" outlineLevel="1">
      <c r="A428" s="12"/>
      <c r="B428" s="12" t="s">
        <v>395</v>
      </c>
      <c r="C428" s="24">
        <v>5042</v>
      </c>
    </row>
    <row r="429" spans="1:3" hidden="1" outlineLevel="1">
      <c r="A429" s="12"/>
      <c r="B429" s="12" t="s">
        <v>396</v>
      </c>
      <c r="C429" s="24">
        <v>4620.2</v>
      </c>
    </row>
    <row r="430" spans="1:3" hidden="1" outlineLevel="1">
      <c r="A430" s="12"/>
      <c r="B430" s="12" t="s">
        <v>303</v>
      </c>
      <c r="C430" s="24">
        <v>4582.41</v>
      </c>
    </row>
    <row r="431" spans="1:3" hidden="1" outlineLevel="1">
      <c r="A431" s="12"/>
      <c r="B431" s="12" t="s">
        <v>189</v>
      </c>
      <c r="C431" s="24">
        <v>4065.91</v>
      </c>
    </row>
    <row r="432" spans="1:3" hidden="1" outlineLevel="1">
      <c r="A432" s="12"/>
      <c r="B432" s="12" t="s">
        <v>397</v>
      </c>
      <c r="C432" s="24">
        <v>3959.18</v>
      </c>
    </row>
    <row r="433" spans="1:3" hidden="1" outlineLevel="1">
      <c r="A433" s="12"/>
      <c r="B433" s="12" t="s">
        <v>76</v>
      </c>
      <c r="C433" s="24">
        <v>3838.31</v>
      </c>
    </row>
    <row r="434" spans="1:3" hidden="1" outlineLevel="1">
      <c r="A434" s="12"/>
      <c r="B434" s="12" t="s">
        <v>398</v>
      </c>
      <c r="C434" s="24">
        <v>3586.45</v>
      </c>
    </row>
    <row r="435" spans="1:3" hidden="1" outlineLevel="1">
      <c r="A435" s="12"/>
      <c r="B435" s="12" t="s">
        <v>196</v>
      </c>
      <c r="C435" s="24">
        <v>3524.2</v>
      </c>
    </row>
    <row r="436" spans="1:3" hidden="1" outlineLevel="1">
      <c r="A436" s="12"/>
      <c r="B436" s="12" t="s">
        <v>399</v>
      </c>
      <c r="C436" s="24">
        <v>3188.2</v>
      </c>
    </row>
    <row r="437" spans="1:3" hidden="1" outlineLevel="1">
      <c r="A437" s="12"/>
      <c r="B437" s="12" t="s">
        <v>400</v>
      </c>
      <c r="C437" s="24">
        <v>3000</v>
      </c>
    </row>
    <row r="438" spans="1:3" hidden="1" outlineLevel="1">
      <c r="A438" s="12"/>
      <c r="B438" s="12" t="s">
        <v>401</v>
      </c>
      <c r="C438" s="24">
        <v>2580.9499999999998</v>
      </c>
    </row>
    <row r="439" spans="1:3" hidden="1" outlineLevel="1">
      <c r="A439" s="12"/>
      <c r="B439" s="12" t="s">
        <v>402</v>
      </c>
      <c r="C439" s="24">
        <v>2238.0700000000002</v>
      </c>
    </row>
    <row r="440" spans="1:3" hidden="1" outlineLevel="1">
      <c r="A440" s="12"/>
      <c r="B440" s="12" t="s">
        <v>96</v>
      </c>
      <c r="C440" s="24">
        <v>1694.57</v>
      </c>
    </row>
    <row r="441" spans="1:3" hidden="1" outlineLevel="1">
      <c r="A441" s="12"/>
      <c r="B441" s="12" t="s">
        <v>85</v>
      </c>
      <c r="C441" s="24">
        <v>1418.55</v>
      </c>
    </row>
    <row r="442" spans="1:3" hidden="1" outlineLevel="1">
      <c r="A442" s="12"/>
      <c r="B442" s="12" t="s">
        <v>403</v>
      </c>
      <c r="C442" s="24">
        <v>1200</v>
      </c>
    </row>
    <row r="443" spans="1:3" hidden="1" outlineLevel="1">
      <c r="A443" s="12"/>
      <c r="B443" s="12" t="s">
        <v>97</v>
      </c>
      <c r="C443" s="24">
        <v>1167.3699999999999</v>
      </c>
    </row>
    <row r="444" spans="1:3" hidden="1" outlineLevel="1">
      <c r="A444" s="12"/>
      <c r="B444" s="12" t="s">
        <v>95</v>
      </c>
      <c r="C444" s="24">
        <v>1148.46</v>
      </c>
    </row>
    <row r="445" spans="1:3" hidden="1" outlineLevel="1">
      <c r="A445" s="12"/>
      <c r="B445" s="12" t="s">
        <v>404</v>
      </c>
      <c r="C445" s="24">
        <v>928.33999999999992</v>
      </c>
    </row>
    <row r="446" spans="1:3" hidden="1" outlineLevel="1">
      <c r="A446" s="12"/>
      <c r="B446" s="12" t="s">
        <v>90</v>
      </c>
      <c r="C446" s="24">
        <v>849.98</v>
      </c>
    </row>
    <row r="447" spans="1:3" hidden="1" outlineLevel="1">
      <c r="A447" s="12"/>
      <c r="B447" s="12" t="s">
        <v>405</v>
      </c>
      <c r="C447" s="24">
        <v>804.43000000000006</v>
      </c>
    </row>
    <row r="448" spans="1:3" hidden="1" outlineLevel="1">
      <c r="A448" s="12"/>
      <c r="B448" s="12" t="s">
        <v>406</v>
      </c>
      <c r="C448" s="24">
        <v>443.87</v>
      </c>
    </row>
    <row r="449" spans="1:3" hidden="1" outlineLevel="1">
      <c r="A449" s="12"/>
      <c r="B449" s="12" t="s">
        <v>407</v>
      </c>
      <c r="C449" s="24">
        <v>397.69</v>
      </c>
    </row>
    <row r="450" spans="1:3" hidden="1" outlineLevel="1">
      <c r="A450" s="12"/>
      <c r="B450" s="12" t="s">
        <v>408</v>
      </c>
      <c r="C450" s="24">
        <v>266.95</v>
      </c>
    </row>
    <row r="451" spans="1:3" hidden="1" outlineLevel="1">
      <c r="A451" s="12"/>
      <c r="B451" s="12" t="s">
        <v>409</v>
      </c>
      <c r="C451" s="24">
        <v>192.61</v>
      </c>
    </row>
    <row r="452" spans="1:3" hidden="1" outlineLevel="1">
      <c r="A452" s="12"/>
      <c r="B452" s="12" t="s">
        <v>228</v>
      </c>
      <c r="C452" s="24">
        <v>183.29</v>
      </c>
    </row>
    <row r="453" spans="1:3" hidden="1" outlineLevel="1">
      <c r="A453" s="12"/>
      <c r="B453" s="12" t="s">
        <v>327</v>
      </c>
      <c r="C453" s="24">
        <v>58.85</v>
      </c>
    </row>
    <row r="454" spans="1:3" collapsed="1">
      <c r="A454" s="12"/>
      <c r="B454" s="25"/>
      <c r="C454" s="26">
        <f>SUM(C355:C376)</f>
        <v>83738205.450000003</v>
      </c>
    </row>
    <row r="455" spans="1:3">
      <c r="A455" s="12"/>
      <c r="B455" s="12"/>
      <c r="C455" s="24"/>
    </row>
    <row r="456" spans="1:3">
      <c r="A456" s="12"/>
      <c r="B456" s="12"/>
      <c r="C456" s="24"/>
    </row>
    <row r="457" spans="1:3">
      <c r="A457" s="47" t="s">
        <v>5</v>
      </c>
      <c r="B457" s="12" t="s">
        <v>410</v>
      </c>
      <c r="C457" s="24">
        <v>9784654.6799999997</v>
      </c>
    </row>
    <row r="458" spans="1:3">
      <c r="A458" s="47"/>
      <c r="B458" s="12" t="s">
        <v>411</v>
      </c>
      <c r="C458" s="24">
        <v>7810567.4400000004</v>
      </c>
    </row>
    <row r="459" spans="1:3">
      <c r="A459" s="47"/>
      <c r="B459" s="12" t="s">
        <v>412</v>
      </c>
      <c r="C459" s="24">
        <v>7640979.9500000002</v>
      </c>
    </row>
    <row r="460" spans="1:3">
      <c r="A460" s="47"/>
      <c r="B460" s="12" t="s">
        <v>413</v>
      </c>
      <c r="C460" s="24">
        <v>7163054.4000000004</v>
      </c>
    </row>
    <row r="461" spans="1:3">
      <c r="A461" s="47"/>
      <c r="B461" s="12" t="s">
        <v>414</v>
      </c>
      <c r="C461" s="24">
        <v>4580195.66</v>
      </c>
    </row>
    <row r="462" spans="1:3">
      <c r="A462" s="47"/>
      <c r="B462" s="12" t="s">
        <v>415</v>
      </c>
      <c r="C462" s="24">
        <v>3971668</v>
      </c>
    </row>
    <row r="463" spans="1:3">
      <c r="A463" s="47"/>
      <c r="B463" s="12" t="s">
        <v>416</v>
      </c>
      <c r="C463" s="24">
        <v>3844827.3899999997</v>
      </c>
    </row>
    <row r="464" spans="1:3">
      <c r="A464" s="47"/>
      <c r="B464" s="12" t="s">
        <v>117</v>
      </c>
      <c r="C464" s="24">
        <v>3414029.84</v>
      </c>
    </row>
    <row r="465" spans="1:3">
      <c r="A465" s="47"/>
      <c r="B465" s="12" t="s">
        <v>417</v>
      </c>
      <c r="C465" s="24">
        <v>3146439.3800000004</v>
      </c>
    </row>
    <row r="466" spans="1:3">
      <c r="A466" s="47"/>
      <c r="B466" s="12" t="s">
        <v>418</v>
      </c>
      <c r="C466" s="24">
        <v>3029726.46</v>
      </c>
    </row>
    <row r="467" spans="1:3">
      <c r="A467" s="47"/>
      <c r="B467" s="12" t="s">
        <v>419</v>
      </c>
      <c r="C467" s="24">
        <v>2382660</v>
      </c>
    </row>
    <row r="468" spans="1:3">
      <c r="A468" s="47"/>
      <c r="B468" s="12" t="s">
        <v>420</v>
      </c>
      <c r="C468" s="24">
        <v>2310741.0199999996</v>
      </c>
    </row>
    <row r="469" spans="1:3">
      <c r="A469" s="47"/>
      <c r="B469" s="12" t="s">
        <v>421</v>
      </c>
      <c r="C469" s="24">
        <v>2218664.62</v>
      </c>
    </row>
    <row r="470" spans="1:3">
      <c r="A470" s="47"/>
      <c r="B470" s="12" t="s">
        <v>422</v>
      </c>
      <c r="C470" s="24">
        <v>2210976.86</v>
      </c>
    </row>
    <row r="471" spans="1:3">
      <c r="A471" s="47"/>
      <c r="B471" s="12" t="s">
        <v>423</v>
      </c>
      <c r="C471" s="24">
        <v>1328552.49</v>
      </c>
    </row>
    <row r="472" spans="1:3">
      <c r="A472" s="47"/>
      <c r="B472" s="12" t="s">
        <v>424</v>
      </c>
      <c r="C472" s="24">
        <v>1272119.02</v>
      </c>
    </row>
    <row r="473" spans="1:3">
      <c r="A473" s="47"/>
      <c r="B473" s="12" t="s">
        <v>425</v>
      </c>
      <c r="C473" s="24">
        <v>1183932.22</v>
      </c>
    </row>
    <row r="474" spans="1:3">
      <c r="A474" s="47"/>
      <c r="B474" s="12" t="s">
        <v>426</v>
      </c>
      <c r="C474" s="24">
        <v>1103137.81</v>
      </c>
    </row>
    <row r="475" spans="1:3">
      <c r="A475" s="47"/>
      <c r="B475" s="12" t="s">
        <v>427</v>
      </c>
      <c r="C475" s="24">
        <v>908726.94</v>
      </c>
    </row>
    <row r="476" spans="1:3">
      <c r="A476" s="47"/>
      <c r="B476" s="12" t="s">
        <v>428</v>
      </c>
      <c r="C476" s="24">
        <v>865007.28</v>
      </c>
    </row>
    <row r="477" spans="1:3" hidden="1" outlineLevel="1">
      <c r="A477" s="12"/>
      <c r="B477" s="12" t="s">
        <v>429</v>
      </c>
      <c r="C477" s="24">
        <v>799308.93</v>
      </c>
    </row>
    <row r="478" spans="1:3" hidden="1" outlineLevel="1">
      <c r="A478" s="12"/>
      <c r="B478" s="12" t="s">
        <v>430</v>
      </c>
      <c r="C478" s="24">
        <v>750000</v>
      </c>
    </row>
    <row r="479" spans="1:3" hidden="1" outlineLevel="1">
      <c r="A479" s="12"/>
      <c r="B479" s="12" t="s">
        <v>431</v>
      </c>
      <c r="C479" s="24">
        <v>674646.91999999993</v>
      </c>
    </row>
    <row r="480" spans="1:3" hidden="1" outlineLevel="1">
      <c r="A480" s="12"/>
      <c r="B480" s="12" t="s">
        <v>432</v>
      </c>
      <c r="C480" s="24">
        <v>547592.19999999995</v>
      </c>
    </row>
    <row r="481" spans="1:3" hidden="1" outlineLevel="1">
      <c r="A481" s="12"/>
      <c r="B481" s="12" t="s">
        <v>433</v>
      </c>
      <c r="C481" s="24">
        <v>475754.76</v>
      </c>
    </row>
    <row r="482" spans="1:3" hidden="1" outlineLevel="1">
      <c r="A482" s="12"/>
      <c r="B482" s="12" t="s">
        <v>434</v>
      </c>
      <c r="C482" s="24">
        <v>387432.22</v>
      </c>
    </row>
    <row r="483" spans="1:3" hidden="1" outlineLevel="1">
      <c r="A483" s="12"/>
      <c r="B483" s="12" t="s">
        <v>435</v>
      </c>
      <c r="C483" s="24">
        <v>371689.45999999996</v>
      </c>
    </row>
    <row r="484" spans="1:3" hidden="1" outlineLevel="1">
      <c r="A484" s="12"/>
      <c r="B484" s="12" t="s">
        <v>436</v>
      </c>
      <c r="C484" s="24">
        <v>362061.66</v>
      </c>
    </row>
    <row r="485" spans="1:3" hidden="1" outlineLevel="1">
      <c r="A485" s="12"/>
      <c r="B485" s="12" t="s">
        <v>437</v>
      </c>
      <c r="C485" s="24">
        <v>330947.03999999998</v>
      </c>
    </row>
    <row r="486" spans="1:3" hidden="1" outlineLevel="1">
      <c r="A486" s="12"/>
      <c r="B486" s="12" t="s">
        <v>149</v>
      </c>
      <c r="C486" s="24">
        <v>247468.42</v>
      </c>
    </row>
    <row r="487" spans="1:3" hidden="1" outlineLevel="1">
      <c r="A487" s="12"/>
      <c r="B487" s="12" t="s">
        <v>438</v>
      </c>
      <c r="C487" s="24">
        <v>228265.02000000002</v>
      </c>
    </row>
    <row r="488" spans="1:3" hidden="1" outlineLevel="1">
      <c r="A488" s="12"/>
      <c r="B488" s="12" t="s">
        <v>439</v>
      </c>
      <c r="C488" s="24">
        <v>226725.33</v>
      </c>
    </row>
    <row r="489" spans="1:3" hidden="1" outlineLevel="1">
      <c r="A489" s="12"/>
      <c r="B489" s="12" t="s">
        <v>440</v>
      </c>
      <c r="C489" s="24">
        <v>201733.16</v>
      </c>
    </row>
    <row r="490" spans="1:3" hidden="1" outlineLevel="1">
      <c r="A490" s="12"/>
      <c r="B490" s="12" t="s">
        <v>441</v>
      </c>
      <c r="C490" s="24">
        <v>182869.47999999998</v>
      </c>
    </row>
    <row r="491" spans="1:3" hidden="1" outlineLevel="1">
      <c r="A491" s="12"/>
      <c r="B491" s="12" t="s">
        <v>121</v>
      </c>
      <c r="C491" s="24">
        <v>176384.35</v>
      </c>
    </row>
    <row r="492" spans="1:3" hidden="1" outlineLevel="1">
      <c r="A492" s="12"/>
      <c r="B492" s="12" t="s">
        <v>442</v>
      </c>
      <c r="C492" s="24">
        <v>158871.16</v>
      </c>
    </row>
    <row r="493" spans="1:3" hidden="1" outlineLevel="1">
      <c r="A493" s="12"/>
      <c r="B493" s="12" t="s">
        <v>443</v>
      </c>
      <c r="C493" s="24">
        <v>137200</v>
      </c>
    </row>
    <row r="494" spans="1:3" hidden="1" outlineLevel="1">
      <c r="A494" s="12"/>
      <c r="B494" s="12" t="s">
        <v>444</v>
      </c>
      <c r="C494" s="24">
        <v>133572.34999999998</v>
      </c>
    </row>
    <row r="495" spans="1:3" hidden="1" outlineLevel="1">
      <c r="A495" s="12"/>
      <c r="B495" s="12" t="s">
        <v>445</v>
      </c>
      <c r="C495" s="24">
        <v>130622.16</v>
      </c>
    </row>
    <row r="496" spans="1:3" hidden="1" outlineLevel="1">
      <c r="A496" s="12"/>
      <c r="B496" s="12" t="s">
        <v>446</v>
      </c>
      <c r="C496" s="24">
        <v>120000</v>
      </c>
    </row>
    <row r="497" spans="1:3" hidden="1" outlineLevel="1">
      <c r="A497" s="12"/>
      <c r="B497" s="12" t="s">
        <v>447</v>
      </c>
      <c r="C497" s="24">
        <v>117512.16</v>
      </c>
    </row>
    <row r="498" spans="1:3" hidden="1" outlineLevel="1">
      <c r="A498" s="12"/>
      <c r="B498" s="12" t="s">
        <v>448</v>
      </c>
      <c r="C498" s="24">
        <v>102789.92</v>
      </c>
    </row>
    <row r="499" spans="1:3" hidden="1" outlineLevel="1">
      <c r="A499" s="12"/>
      <c r="B499" s="12" t="s">
        <v>449</v>
      </c>
      <c r="C499" s="24">
        <v>101627.1</v>
      </c>
    </row>
    <row r="500" spans="1:3" hidden="1" outlineLevel="1">
      <c r="A500" s="12"/>
      <c r="B500" s="12" t="s">
        <v>450</v>
      </c>
      <c r="C500" s="24">
        <v>97968.37</v>
      </c>
    </row>
    <row r="501" spans="1:3" hidden="1" outlineLevel="1">
      <c r="A501" s="12"/>
      <c r="B501" s="12" t="s">
        <v>451</v>
      </c>
      <c r="C501" s="24">
        <v>93497.72</v>
      </c>
    </row>
    <row r="502" spans="1:3" hidden="1" outlineLevel="1">
      <c r="A502" s="12"/>
      <c r="B502" s="12" t="s">
        <v>452</v>
      </c>
      <c r="C502" s="24">
        <v>84055.5</v>
      </c>
    </row>
    <row r="503" spans="1:3" hidden="1" outlineLevel="1">
      <c r="A503" s="12"/>
      <c r="B503" s="12" t="s">
        <v>453</v>
      </c>
      <c r="C503" s="24">
        <v>78597.490000000005</v>
      </c>
    </row>
    <row r="504" spans="1:3" hidden="1" outlineLevel="1">
      <c r="A504" s="12"/>
      <c r="B504" s="12" t="s">
        <v>454</v>
      </c>
      <c r="C504" s="24">
        <v>77293.5</v>
      </c>
    </row>
    <row r="505" spans="1:3" hidden="1" outlineLevel="1">
      <c r="A505" s="12"/>
      <c r="B505" s="12" t="s">
        <v>455</v>
      </c>
      <c r="C505" s="24">
        <v>67244.399999999994</v>
      </c>
    </row>
    <row r="506" spans="1:3" hidden="1" outlineLevel="1">
      <c r="A506" s="12"/>
      <c r="B506" s="12" t="s">
        <v>456</v>
      </c>
      <c r="C506" s="24">
        <v>61131.26</v>
      </c>
    </row>
    <row r="507" spans="1:3" hidden="1" outlineLevel="1">
      <c r="A507" s="12"/>
      <c r="B507" s="12" t="s">
        <v>135</v>
      </c>
      <c r="C507" s="24">
        <v>53660</v>
      </c>
    </row>
    <row r="508" spans="1:3" hidden="1" outlineLevel="1">
      <c r="A508" s="12"/>
      <c r="B508" s="12" t="s">
        <v>457</v>
      </c>
      <c r="C508" s="24">
        <v>52742.16</v>
      </c>
    </row>
    <row r="509" spans="1:3" hidden="1" outlineLevel="1">
      <c r="A509" s="12"/>
      <c r="B509" s="12" t="s">
        <v>458</v>
      </c>
      <c r="C509" s="24">
        <v>51651.31</v>
      </c>
    </row>
    <row r="510" spans="1:3" hidden="1" outlineLevel="1">
      <c r="A510" s="12"/>
      <c r="B510" s="12" t="s">
        <v>459</v>
      </c>
      <c r="C510" s="24">
        <v>49906.490000000005</v>
      </c>
    </row>
    <row r="511" spans="1:3" hidden="1" outlineLevel="1">
      <c r="A511" s="12"/>
      <c r="B511" s="12" t="s">
        <v>395</v>
      </c>
      <c r="C511" s="24">
        <v>45378.060000000005</v>
      </c>
    </row>
    <row r="512" spans="1:3" hidden="1" outlineLevel="1">
      <c r="A512" s="12"/>
      <c r="B512" s="12" t="s">
        <v>70</v>
      </c>
      <c r="C512" s="24">
        <v>45364.959999999999</v>
      </c>
    </row>
    <row r="513" spans="1:3" hidden="1" outlineLevel="1">
      <c r="A513" s="12"/>
      <c r="B513" s="12" t="s">
        <v>226</v>
      </c>
      <c r="C513" s="24">
        <v>45268.68</v>
      </c>
    </row>
    <row r="514" spans="1:3" hidden="1" outlineLevel="1">
      <c r="A514" s="12"/>
      <c r="B514" s="12" t="s">
        <v>460</v>
      </c>
      <c r="C514" s="24">
        <v>42180.58</v>
      </c>
    </row>
    <row r="515" spans="1:3" hidden="1" outlineLevel="1">
      <c r="A515" s="12"/>
      <c r="B515" s="12" t="s">
        <v>213</v>
      </c>
      <c r="C515" s="24">
        <v>30459.18</v>
      </c>
    </row>
    <row r="516" spans="1:3" hidden="1" outlineLevel="1">
      <c r="A516" s="12"/>
      <c r="B516" s="12" t="s">
        <v>177</v>
      </c>
      <c r="C516" s="24">
        <v>28698.62</v>
      </c>
    </row>
    <row r="517" spans="1:3" hidden="1" outlineLevel="1">
      <c r="A517" s="12"/>
      <c r="B517" s="12" t="s">
        <v>461</v>
      </c>
      <c r="C517" s="24">
        <v>28000</v>
      </c>
    </row>
    <row r="518" spans="1:3" hidden="1" outlineLevel="1">
      <c r="A518" s="12"/>
      <c r="B518" s="12" t="s">
        <v>462</v>
      </c>
      <c r="C518" s="24">
        <v>27509.07</v>
      </c>
    </row>
    <row r="519" spans="1:3" hidden="1" outlineLevel="1">
      <c r="A519" s="12"/>
      <c r="B519" s="12" t="s">
        <v>128</v>
      </c>
      <c r="C519" s="24">
        <v>25062.62</v>
      </c>
    </row>
    <row r="520" spans="1:3" hidden="1" outlineLevel="1">
      <c r="A520" s="12"/>
      <c r="B520" s="12" t="s">
        <v>463</v>
      </c>
      <c r="C520" s="24">
        <v>23930.080000000002</v>
      </c>
    </row>
    <row r="521" spans="1:3" hidden="1" outlineLevel="1">
      <c r="A521" s="12"/>
      <c r="B521" s="12" t="s">
        <v>464</v>
      </c>
      <c r="C521" s="24">
        <v>23709.09</v>
      </c>
    </row>
    <row r="522" spans="1:3" hidden="1" outlineLevel="1">
      <c r="A522" s="12"/>
      <c r="B522" s="12" t="s">
        <v>465</v>
      </c>
      <c r="C522" s="24">
        <v>23000</v>
      </c>
    </row>
    <row r="523" spans="1:3" hidden="1" outlineLevel="1">
      <c r="A523" s="12"/>
      <c r="B523" s="12" t="s">
        <v>466</v>
      </c>
      <c r="C523" s="24">
        <v>21499.98</v>
      </c>
    </row>
    <row r="524" spans="1:3" hidden="1" outlineLevel="1">
      <c r="A524" s="12"/>
      <c r="B524" s="12" t="s">
        <v>220</v>
      </c>
      <c r="C524" s="24">
        <v>20384</v>
      </c>
    </row>
    <row r="525" spans="1:3" hidden="1" outlineLevel="1">
      <c r="A525" s="12"/>
      <c r="B525" s="12" t="s">
        <v>467</v>
      </c>
      <c r="C525" s="24">
        <v>19200</v>
      </c>
    </row>
    <row r="526" spans="1:3" hidden="1" outlineLevel="1">
      <c r="A526" s="12"/>
      <c r="B526" s="12" t="s">
        <v>217</v>
      </c>
      <c r="C526" s="24">
        <v>18720</v>
      </c>
    </row>
    <row r="527" spans="1:3" hidden="1" outlineLevel="1">
      <c r="A527" s="12"/>
      <c r="B527" s="12" t="s">
        <v>468</v>
      </c>
      <c r="C527" s="24">
        <v>17161.2</v>
      </c>
    </row>
    <row r="528" spans="1:3" hidden="1" outlineLevel="1">
      <c r="A528" s="12"/>
      <c r="B528" s="12" t="s">
        <v>469</v>
      </c>
      <c r="C528" s="24">
        <v>16000</v>
      </c>
    </row>
    <row r="529" spans="1:3" hidden="1" outlineLevel="1">
      <c r="A529" s="12"/>
      <c r="B529" s="12" t="s">
        <v>470</v>
      </c>
      <c r="C529" s="24">
        <v>11115.74</v>
      </c>
    </row>
    <row r="530" spans="1:3" hidden="1" outlineLevel="1">
      <c r="A530" s="12"/>
      <c r="B530" s="12" t="s">
        <v>471</v>
      </c>
      <c r="C530" s="24">
        <v>10789.34</v>
      </c>
    </row>
    <row r="531" spans="1:3" hidden="1" outlineLevel="1">
      <c r="A531" s="12"/>
      <c r="B531" s="12" t="s">
        <v>229</v>
      </c>
      <c r="C531" s="24">
        <v>10250</v>
      </c>
    </row>
    <row r="532" spans="1:3" hidden="1" outlineLevel="1">
      <c r="A532" s="12"/>
      <c r="B532" s="12" t="s">
        <v>193</v>
      </c>
      <c r="C532" s="24">
        <v>10191.890000000001</v>
      </c>
    </row>
    <row r="533" spans="1:3" hidden="1" outlineLevel="1">
      <c r="A533" s="12"/>
      <c r="B533" s="12" t="s">
        <v>472</v>
      </c>
      <c r="C533" s="24">
        <v>9000</v>
      </c>
    </row>
    <row r="534" spans="1:3" hidden="1" outlineLevel="1">
      <c r="A534" s="12"/>
      <c r="B534" s="12" t="s">
        <v>57</v>
      </c>
      <c r="C534" s="24">
        <v>8584.81</v>
      </c>
    </row>
    <row r="535" spans="1:3" hidden="1" outlineLevel="1">
      <c r="A535" s="12"/>
      <c r="B535" s="12" t="s">
        <v>473</v>
      </c>
      <c r="C535" s="24">
        <v>8441.94</v>
      </c>
    </row>
    <row r="536" spans="1:3" hidden="1" outlineLevel="1">
      <c r="A536" s="12"/>
      <c r="B536" s="12" t="s">
        <v>474</v>
      </c>
      <c r="C536" s="24">
        <v>8397.41</v>
      </c>
    </row>
    <row r="537" spans="1:3" hidden="1" outlineLevel="1">
      <c r="A537" s="12"/>
      <c r="B537" s="12" t="s">
        <v>475</v>
      </c>
      <c r="C537" s="24">
        <v>7725.61</v>
      </c>
    </row>
    <row r="538" spans="1:3" hidden="1" outlineLevel="1">
      <c r="A538" s="12"/>
      <c r="B538" s="12" t="s">
        <v>221</v>
      </c>
      <c r="C538" s="24">
        <v>7150</v>
      </c>
    </row>
    <row r="539" spans="1:3" hidden="1" outlineLevel="1">
      <c r="A539" s="12"/>
      <c r="B539" s="12" t="s">
        <v>476</v>
      </c>
      <c r="C539" s="24">
        <v>4500</v>
      </c>
    </row>
    <row r="540" spans="1:3" hidden="1" outlineLevel="1">
      <c r="A540" s="12"/>
      <c r="B540" s="12" t="s">
        <v>477</v>
      </c>
      <c r="C540" s="24">
        <v>4200</v>
      </c>
    </row>
    <row r="541" spans="1:3" hidden="1" outlineLevel="1">
      <c r="A541" s="12"/>
      <c r="B541" s="12" t="s">
        <v>189</v>
      </c>
      <c r="C541" s="24">
        <v>4065.92</v>
      </c>
    </row>
    <row r="542" spans="1:3" hidden="1" outlineLevel="1">
      <c r="A542" s="12"/>
      <c r="B542" s="12" t="s">
        <v>85</v>
      </c>
      <c r="C542" s="24">
        <v>3988.53</v>
      </c>
    </row>
    <row r="543" spans="1:3" hidden="1" outlineLevel="1">
      <c r="A543" s="12"/>
      <c r="B543" s="12" t="s">
        <v>478</v>
      </c>
      <c r="C543" s="24">
        <v>3880</v>
      </c>
    </row>
    <row r="544" spans="1:3" hidden="1" outlineLevel="1">
      <c r="A544" s="12"/>
      <c r="B544" s="12" t="s">
        <v>184</v>
      </c>
      <c r="C544" s="24">
        <v>3802.1</v>
      </c>
    </row>
    <row r="545" spans="1:3" hidden="1" outlineLevel="1">
      <c r="A545" s="12"/>
      <c r="B545" s="12" t="s">
        <v>479</v>
      </c>
      <c r="C545" s="24">
        <v>3548.07</v>
      </c>
    </row>
    <row r="546" spans="1:3" hidden="1" outlineLevel="1">
      <c r="A546" s="12"/>
      <c r="B546" s="12" t="s">
        <v>480</v>
      </c>
      <c r="C546" s="24">
        <v>3531.24</v>
      </c>
    </row>
    <row r="547" spans="1:3" hidden="1" outlineLevel="1">
      <c r="A547" s="12"/>
      <c r="B547" s="12" t="s">
        <v>481</v>
      </c>
      <c r="C547" s="24">
        <v>3465.14</v>
      </c>
    </row>
    <row r="548" spans="1:3" hidden="1" outlineLevel="1">
      <c r="A548" s="12"/>
      <c r="B548" s="12" t="s">
        <v>319</v>
      </c>
      <c r="C548" s="24">
        <v>3414.44</v>
      </c>
    </row>
    <row r="549" spans="1:3" hidden="1" outlineLevel="1">
      <c r="A549" s="12"/>
      <c r="B549" s="12" t="s">
        <v>190</v>
      </c>
      <c r="C549" s="24">
        <v>3049.41</v>
      </c>
    </row>
    <row r="550" spans="1:3" hidden="1" outlineLevel="1">
      <c r="A550" s="12"/>
      <c r="B550" s="12" t="s">
        <v>482</v>
      </c>
      <c r="C550" s="24">
        <v>2700</v>
      </c>
    </row>
    <row r="551" spans="1:3" hidden="1" outlineLevel="1">
      <c r="A551" s="12"/>
      <c r="B551" s="12" t="s">
        <v>195</v>
      </c>
      <c r="C551" s="24">
        <v>2570.58</v>
      </c>
    </row>
    <row r="552" spans="1:3" hidden="1" outlineLevel="1">
      <c r="A552" s="12"/>
      <c r="B552" s="12" t="s">
        <v>90</v>
      </c>
      <c r="C552" s="24">
        <v>2549.94</v>
      </c>
    </row>
    <row r="553" spans="1:3" hidden="1" outlineLevel="1">
      <c r="A553" s="12"/>
      <c r="B553" s="12" t="s">
        <v>483</v>
      </c>
      <c r="C553" s="24">
        <v>2529.1</v>
      </c>
    </row>
    <row r="554" spans="1:3" hidden="1" outlineLevel="1">
      <c r="A554" s="12"/>
      <c r="B554" s="12" t="s">
        <v>72</v>
      </c>
      <c r="C554" s="24">
        <v>2480.81</v>
      </c>
    </row>
    <row r="555" spans="1:3" hidden="1" outlineLevel="1">
      <c r="A555" s="12"/>
      <c r="B555" s="12" t="s">
        <v>187</v>
      </c>
      <c r="C555" s="24">
        <v>2248.4299999999998</v>
      </c>
    </row>
    <row r="556" spans="1:3" hidden="1" outlineLevel="1">
      <c r="A556" s="12"/>
      <c r="B556" s="12" t="s">
        <v>484</v>
      </c>
      <c r="C556" s="24">
        <v>2101.1800000000003</v>
      </c>
    </row>
    <row r="557" spans="1:3" hidden="1" outlineLevel="1">
      <c r="A557" s="12"/>
      <c r="B557" s="12" t="s">
        <v>485</v>
      </c>
      <c r="C557" s="24">
        <v>1890</v>
      </c>
    </row>
    <row r="558" spans="1:3" hidden="1" outlineLevel="1">
      <c r="A558" s="12"/>
      <c r="B558" s="12" t="s">
        <v>486</v>
      </c>
      <c r="C558" s="24">
        <v>1673.61</v>
      </c>
    </row>
    <row r="559" spans="1:3" hidden="1" outlineLevel="1">
      <c r="A559" s="12"/>
      <c r="B559" s="12" t="s">
        <v>30</v>
      </c>
      <c r="C559" s="24">
        <v>1643.02</v>
      </c>
    </row>
    <row r="560" spans="1:3" hidden="1" outlineLevel="1">
      <c r="A560" s="12"/>
      <c r="B560" s="12" t="s">
        <v>487</v>
      </c>
      <c r="C560" s="24">
        <v>1629.05</v>
      </c>
    </row>
    <row r="561" spans="1:3" hidden="1" outlineLevel="1">
      <c r="A561" s="12"/>
      <c r="B561" s="12" t="s">
        <v>488</v>
      </c>
      <c r="C561" s="24">
        <v>1513.99</v>
      </c>
    </row>
    <row r="562" spans="1:3" hidden="1" outlineLevel="1">
      <c r="A562" s="12"/>
      <c r="B562" s="12" t="s">
        <v>489</v>
      </c>
      <c r="C562" s="24">
        <v>1496.83</v>
      </c>
    </row>
    <row r="563" spans="1:3" hidden="1" outlineLevel="1">
      <c r="A563" s="12"/>
      <c r="B563" s="12" t="s">
        <v>204</v>
      </c>
      <c r="C563" s="24">
        <v>1488.7</v>
      </c>
    </row>
    <row r="564" spans="1:3" hidden="1" outlineLevel="1">
      <c r="A564" s="12"/>
      <c r="B564" s="12" t="s">
        <v>490</v>
      </c>
      <c r="C564" s="24">
        <v>1400</v>
      </c>
    </row>
    <row r="565" spans="1:3" hidden="1" outlineLevel="1">
      <c r="A565" s="12"/>
      <c r="B565" s="12" t="s">
        <v>491</v>
      </c>
      <c r="C565" s="24">
        <v>1043.31</v>
      </c>
    </row>
    <row r="566" spans="1:3" hidden="1" outlineLevel="1">
      <c r="A566" s="12"/>
      <c r="B566" s="12" t="s">
        <v>492</v>
      </c>
      <c r="C566" s="24">
        <v>997.45</v>
      </c>
    </row>
    <row r="567" spans="1:3" hidden="1" outlineLevel="1">
      <c r="A567" s="12"/>
      <c r="B567" s="12" t="s">
        <v>330</v>
      </c>
      <c r="C567" s="24">
        <v>990</v>
      </c>
    </row>
    <row r="568" spans="1:3" hidden="1" outlineLevel="1">
      <c r="A568" s="12"/>
      <c r="B568" s="12" t="s">
        <v>222</v>
      </c>
      <c r="C568" s="24">
        <v>940.16</v>
      </c>
    </row>
    <row r="569" spans="1:3" hidden="1" outlineLevel="1">
      <c r="A569" s="12"/>
      <c r="B569" s="12" t="s">
        <v>81</v>
      </c>
      <c r="C569" s="24">
        <v>881.53</v>
      </c>
    </row>
    <row r="570" spans="1:3" hidden="1" outlineLevel="1">
      <c r="A570" s="12"/>
      <c r="B570" s="12" t="s">
        <v>493</v>
      </c>
      <c r="C570" s="24">
        <v>774.23</v>
      </c>
    </row>
    <row r="571" spans="1:3" hidden="1" outlineLevel="1">
      <c r="A571" s="12"/>
      <c r="B571" s="12" t="s">
        <v>96</v>
      </c>
      <c r="C571" s="24">
        <v>598.08000000000004</v>
      </c>
    </row>
    <row r="572" spans="1:3" hidden="1" outlineLevel="1">
      <c r="A572" s="12"/>
      <c r="B572" s="12" t="s">
        <v>208</v>
      </c>
      <c r="C572" s="24">
        <v>576.56999999999994</v>
      </c>
    </row>
    <row r="573" spans="1:3" hidden="1" outlineLevel="1">
      <c r="A573" s="12"/>
      <c r="B573" s="12" t="s">
        <v>95</v>
      </c>
      <c r="C573" s="24">
        <v>574.23</v>
      </c>
    </row>
    <row r="574" spans="1:3" hidden="1" outlineLevel="1">
      <c r="A574" s="12"/>
      <c r="B574" s="12" t="s">
        <v>216</v>
      </c>
      <c r="C574" s="24">
        <v>362.39</v>
      </c>
    </row>
    <row r="575" spans="1:3" collapsed="1">
      <c r="A575" s="12"/>
      <c r="B575" s="25"/>
      <c r="C575" s="26">
        <f>SUM(C457:C476)</f>
        <v>70170661.460000008</v>
      </c>
    </row>
    <row r="576" spans="1:3">
      <c r="A576" s="12"/>
      <c r="B576" s="12"/>
      <c r="C576" s="24"/>
    </row>
    <row r="577" spans="1:3">
      <c r="A577" s="12"/>
      <c r="B577" s="12"/>
      <c r="C577" s="24"/>
    </row>
    <row r="578" spans="1:3">
      <c r="A578" s="12"/>
      <c r="B578" s="12"/>
      <c r="C578" s="24"/>
    </row>
    <row r="579" spans="1:3">
      <c r="A579" s="47" t="s">
        <v>10</v>
      </c>
      <c r="B579" s="12" t="s">
        <v>494</v>
      </c>
      <c r="C579" s="24">
        <v>5606105.6699999999</v>
      </c>
    </row>
    <row r="580" spans="1:3">
      <c r="A580" s="47"/>
      <c r="B580" s="12" t="s">
        <v>495</v>
      </c>
      <c r="C580" s="24">
        <v>5321814.6900000004</v>
      </c>
    </row>
    <row r="581" spans="1:3">
      <c r="A581" s="47"/>
      <c r="B581" s="12" t="s">
        <v>496</v>
      </c>
      <c r="C581" s="24">
        <v>4606059.28</v>
      </c>
    </row>
    <row r="582" spans="1:3">
      <c r="A582" s="47"/>
      <c r="B582" s="12" t="s">
        <v>497</v>
      </c>
      <c r="C582" s="24">
        <v>3333634.43</v>
      </c>
    </row>
    <row r="583" spans="1:3">
      <c r="A583" s="47"/>
      <c r="B583" s="12" t="s">
        <v>498</v>
      </c>
      <c r="C583" s="24">
        <v>2501044.12</v>
      </c>
    </row>
    <row r="584" spans="1:3">
      <c r="A584" s="47"/>
      <c r="B584" s="12" t="s">
        <v>499</v>
      </c>
      <c r="C584" s="24">
        <v>2373782.7000000002</v>
      </c>
    </row>
    <row r="585" spans="1:3">
      <c r="A585" s="47"/>
      <c r="B585" s="12" t="s">
        <v>500</v>
      </c>
      <c r="C585" s="24">
        <v>2056024.59</v>
      </c>
    </row>
    <row r="586" spans="1:3">
      <c r="A586" s="47"/>
      <c r="B586" s="12" t="s">
        <v>501</v>
      </c>
      <c r="C586" s="24">
        <v>1616125.77</v>
      </c>
    </row>
    <row r="587" spans="1:3">
      <c r="A587" s="47"/>
      <c r="B587" s="12" t="s">
        <v>502</v>
      </c>
      <c r="C587" s="24">
        <v>1432567.46</v>
      </c>
    </row>
    <row r="588" spans="1:3">
      <c r="A588" s="47"/>
      <c r="B588" s="12" t="s">
        <v>503</v>
      </c>
      <c r="C588" s="24">
        <v>1389447.27</v>
      </c>
    </row>
    <row r="589" spans="1:3">
      <c r="A589" s="47"/>
      <c r="B589" s="12" t="s">
        <v>504</v>
      </c>
      <c r="C589" s="24">
        <v>1313305.7</v>
      </c>
    </row>
    <row r="590" spans="1:3">
      <c r="A590" s="47"/>
      <c r="B590" s="12" t="s">
        <v>505</v>
      </c>
      <c r="C590" s="24">
        <v>1057639.28</v>
      </c>
    </row>
    <row r="591" spans="1:3">
      <c r="A591" s="47"/>
      <c r="B591" s="12" t="s">
        <v>506</v>
      </c>
      <c r="C591" s="24">
        <v>872835.34000000008</v>
      </c>
    </row>
    <row r="592" spans="1:3">
      <c r="A592" s="47"/>
      <c r="B592" s="12" t="s">
        <v>507</v>
      </c>
      <c r="C592" s="24">
        <v>832364.84</v>
      </c>
    </row>
    <row r="593" spans="1:3">
      <c r="A593" s="47"/>
      <c r="B593" s="12" t="s">
        <v>508</v>
      </c>
      <c r="C593" s="24">
        <v>715380.53</v>
      </c>
    </row>
    <row r="594" spans="1:3">
      <c r="A594" s="47"/>
      <c r="B594" s="12" t="s">
        <v>372</v>
      </c>
      <c r="C594" s="24">
        <v>704420.25</v>
      </c>
    </row>
    <row r="595" spans="1:3">
      <c r="A595" s="47"/>
      <c r="B595" s="12" t="s">
        <v>509</v>
      </c>
      <c r="C595" s="24">
        <v>698902.13</v>
      </c>
    </row>
    <row r="596" spans="1:3">
      <c r="A596" s="47"/>
      <c r="B596" s="12" t="s">
        <v>40</v>
      </c>
      <c r="C596" s="24">
        <v>692302.47000000032</v>
      </c>
    </row>
    <row r="597" spans="1:3">
      <c r="A597" s="47"/>
      <c r="B597" s="12" t="s">
        <v>510</v>
      </c>
      <c r="C597" s="24">
        <v>669699.18000000005</v>
      </c>
    </row>
    <row r="598" spans="1:3">
      <c r="A598" s="47"/>
      <c r="B598" s="12" t="s">
        <v>511</v>
      </c>
      <c r="C598" s="24">
        <v>647187</v>
      </c>
    </row>
    <row r="599" spans="1:3" hidden="1" outlineLevel="1">
      <c r="A599" s="12"/>
      <c r="B599" s="12" t="s">
        <v>512</v>
      </c>
      <c r="C599" s="24">
        <v>571315.56999999995</v>
      </c>
    </row>
    <row r="600" spans="1:3" hidden="1" outlineLevel="1">
      <c r="A600" s="12"/>
      <c r="B600" s="12" t="s">
        <v>513</v>
      </c>
      <c r="C600" s="24">
        <v>540609.88</v>
      </c>
    </row>
    <row r="601" spans="1:3" hidden="1" outlineLevel="1">
      <c r="A601" s="12"/>
      <c r="B601" s="12" t="s">
        <v>514</v>
      </c>
      <c r="C601" s="24">
        <v>530692.76</v>
      </c>
    </row>
    <row r="602" spans="1:3" hidden="1" outlineLevel="1">
      <c r="A602" s="12"/>
      <c r="B602" s="12" t="s">
        <v>515</v>
      </c>
      <c r="C602" s="24">
        <v>526221.98</v>
      </c>
    </row>
    <row r="603" spans="1:3" hidden="1" outlineLevel="1">
      <c r="A603" s="12"/>
      <c r="B603" s="12" t="s">
        <v>251</v>
      </c>
      <c r="C603" s="24">
        <v>513313.30000000005</v>
      </c>
    </row>
    <row r="604" spans="1:3" hidden="1" outlineLevel="1">
      <c r="A604" s="12"/>
      <c r="B604" s="12" t="s">
        <v>417</v>
      </c>
      <c r="C604" s="24">
        <v>507291.62</v>
      </c>
    </row>
    <row r="605" spans="1:3" hidden="1" outlineLevel="1">
      <c r="A605" s="12"/>
      <c r="B605" s="12" t="s">
        <v>516</v>
      </c>
      <c r="C605" s="24">
        <v>487672.99</v>
      </c>
    </row>
    <row r="606" spans="1:3" hidden="1" outlineLevel="1">
      <c r="A606" s="12"/>
      <c r="B606" s="12" t="s">
        <v>517</v>
      </c>
      <c r="C606" s="24">
        <v>466734.73</v>
      </c>
    </row>
    <row r="607" spans="1:3" hidden="1" outlineLevel="1">
      <c r="A607" s="12"/>
      <c r="B607" s="12" t="s">
        <v>249</v>
      </c>
      <c r="C607" s="24">
        <v>434843.77</v>
      </c>
    </row>
    <row r="608" spans="1:3" hidden="1" outlineLevel="1">
      <c r="A608" s="12"/>
      <c r="B608" s="12" t="s">
        <v>112</v>
      </c>
      <c r="C608" s="24">
        <v>424068.49</v>
      </c>
    </row>
    <row r="609" spans="1:3" hidden="1" outlineLevel="1">
      <c r="A609" s="12"/>
      <c r="B609" s="12" t="s">
        <v>518</v>
      </c>
      <c r="C609" s="24">
        <v>421417.62</v>
      </c>
    </row>
    <row r="610" spans="1:3" hidden="1" outlineLevel="1">
      <c r="A610" s="12"/>
      <c r="B610" s="12" t="s">
        <v>519</v>
      </c>
      <c r="C610" s="24">
        <v>415145.42</v>
      </c>
    </row>
    <row r="611" spans="1:3" hidden="1" outlineLevel="1">
      <c r="A611" s="12"/>
      <c r="B611" s="12" t="s">
        <v>520</v>
      </c>
      <c r="C611" s="24">
        <v>403391.81</v>
      </c>
    </row>
    <row r="612" spans="1:3" hidden="1" outlineLevel="1">
      <c r="A612" s="12"/>
      <c r="B612" s="12" t="s">
        <v>299</v>
      </c>
      <c r="C612" s="24">
        <v>397799.09</v>
      </c>
    </row>
    <row r="613" spans="1:3" hidden="1" outlineLevel="1">
      <c r="A613" s="12"/>
      <c r="B613" s="12" t="s">
        <v>521</v>
      </c>
      <c r="C613" s="24">
        <v>395158.63</v>
      </c>
    </row>
    <row r="614" spans="1:3" hidden="1" outlineLevel="1">
      <c r="A614" s="12"/>
      <c r="B614" s="12" t="s">
        <v>522</v>
      </c>
      <c r="C614" s="24">
        <v>341092.62</v>
      </c>
    </row>
    <row r="615" spans="1:3" hidden="1" outlineLevel="1">
      <c r="A615" s="12"/>
      <c r="B615" s="12" t="s">
        <v>523</v>
      </c>
      <c r="C615" s="24">
        <v>334885.53999999998</v>
      </c>
    </row>
    <row r="616" spans="1:3" hidden="1" outlineLevel="1">
      <c r="A616" s="12"/>
      <c r="B616" s="12" t="s">
        <v>524</v>
      </c>
      <c r="C616" s="24">
        <v>323241.32</v>
      </c>
    </row>
    <row r="617" spans="1:3" hidden="1" outlineLevel="1">
      <c r="A617" s="12"/>
      <c r="B617" s="12" t="s">
        <v>525</v>
      </c>
      <c r="C617" s="24">
        <v>298839.23</v>
      </c>
    </row>
    <row r="618" spans="1:3" hidden="1" outlineLevel="1">
      <c r="A618" s="12"/>
      <c r="B618" s="12" t="s">
        <v>267</v>
      </c>
      <c r="C618" s="24">
        <v>298826.2</v>
      </c>
    </row>
    <row r="619" spans="1:3" hidden="1" outlineLevel="1">
      <c r="A619" s="12"/>
      <c r="B619" s="12" t="s">
        <v>526</v>
      </c>
      <c r="C619" s="24">
        <v>297159.09000000003</v>
      </c>
    </row>
    <row r="620" spans="1:3" hidden="1" outlineLevel="1">
      <c r="A620" s="12"/>
      <c r="B620" s="12" t="s">
        <v>527</v>
      </c>
      <c r="C620" s="24">
        <v>294081.2</v>
      </c>
    </row>
    <row r="621" spans="1:3" hidden="1" outlineLevel="1">
      <c r="A621" s="12"/>
      <c r="B621" s="12" t="s">
        <v>528</v>
      </c>
      <c r="C621" s="24">
        <v>275434.27</v>
      </c>
    </row>
    <row r="622" spans="1:3" hidden="1" outlineLevel="1">
      <c r="A622" s="12"/>
      <c r="B622" s="12" t="s">
        <v>529</v>
      </c>
      <c r="C622" s="24">
        <v>257488.96</v>
      </c>
    </row>
    <row r="623" spans="1:3" hidden="1" outlineLevel="1">
      <c r="A623" s="12"/>
      <c r="B623" s="12" t="s">
        <v>530</v>
      </c>
      <c r="C623" s="24">
        <v>245533.95</v>
      </c>
    </row>
    <row r="624" spans="1:3" hidden="1" outlineLevel="1">
      <c r="A624" s="12"/>
      <c r="B624" s="12" t="s">
        <v>531</v>
      </c>
      <c r="C624" s="24">
        <v>244076.6</v>
      </c>
    </row>
    <row r="625" spans="1:3" hidden="1" outlineLevel="1">
      <c r="A625" s="12"/>
      <c r="B625" s="12" t="s">
        <v>70</v>
      </c>
      <c r="C625" s="24">
        <v>238166.05999999991</v>
      </c>
    </row>
    <row r="626" spans="1:3" hidden="1" outlineLevel="1">
      <c r="A626" s="12"/>
      <c r="B626" s="12" t="s">
        <v>532</v>
      </c>
      <c r="C626" s="24">
        <v>216765.53</v>
      </c>
    </row>
    <row r="627" spans="1:3" hidden="1" outlineLevel="1">
      <c r="A627" s="12"/>
      <c r="B627" s="12" t="s">
        <v>533</v>
      </c>
      <c r="C627" s="24">
        <v>194606.89</v>
      </c>
    </row>
    <row r="628" spans="1:3" hidden="1" outlineLevel="1">
      <c r="A628" s="12"/>
      <c r="B628" s="12" t="s">
        <v>79</v>
      </c>
      <c r="C628" s="24">
        <v>185152.05</v>
      </c>
    </row>
    <row r="629" spans="1:3" hidden="1" outlineLevel="1">
      <c r="A629" s="12"/>
      <c r="B629" s="12" t="s">
        <v>534</v>
      </c>
      <c r="C629" s="24">
        <v>176707.58</v>
      </c>
    </row>
    <row r="630" spans="1:3" hidden="1" outlineLevel="1">
      <c r="A630" s="12"/>
      <c r="B630" s="12" t="s">
        <v>535</v>
      </c>
      <c r="C630" s="24">
        <v>170605.53</v>
      </c>
    </row>
    <row r="631" spans="1:3" hidden="1" outlineLevel="1">
      <c r="A631" s="12"/>
      <c r="B631" s="12" t="s">
        <v>536</v>
      </c>
      <c r="C631" s="24">
        <v>164861.70000000001</v>
      </c>
    </row>
    <row r="632" spans="1:3" hidden="1" outlineLevel="1">
      <c r="A632" s="12"/>
      <c r="B632" s="12" t="s">
        <v>60</v>
      </c>
      <c r="C632" s="24">
        <v>163512.15</v>
      </c>
    </row>
    <row r="633" spans="1:3" hidden="1" outlineLevel="1">
      <c r="A633" s="12"/>
      <c r="B633" s="12" t="s">
        <v>454</v>
      </c>
      <c r="C633" s="24">
        <v>154586.99</v>
      </c>
    </row>
    <row r="634" spans="1:3" hidden="1" outlineLevel="1">
      <c r="A634" s="12"/>
      <c r="B634" s="12" t="s">
        <v>537</v>
      </c>
      <c r="C634" s="24">
        <v>149505.42000000001</v>
      </c>
    </row>
    <row r="635" spans="1:3" hidden="1" outlineLevel="1">
      <c r="A635" s="12"/>
      <c r="B635" s="12" t="s">
        <v>538</v>
      </c>
      <c r="C635" s="24">
        <v>145707.42000000001</v>
      </c>
    </row>
    <row r="636" spans="1:3" hidden="1" outlineLevel="1">
      <c r="A636" s="12"/>
      <c r="B636" s="12" t="s">
        <v>539</v>
      </c>
      <c r="C636" s="24">
        <v>144905.60000000001</v>
      </c>
    </row>
    <row r="637" spans="1:3" hidden="1" outlineLevel="1">
      <c r="A637" s="12"/>
      <c r="B637" s="12" t="s">
        <v>540</v>
      </c>
      <c r="C637" s="24">
        <v>143926.62</v>
      </c>
    </row>
    <row r="638" spans="1:3" hidden="1" outlineLevel="1">
      <c r="A638" s="12"/>
      <c r="B638" s="12" t="s">
        <v>541</v>
      </c>
      <c r="C638" s="24">
        <v>136026</v>
      </c>
    </row>
    <row r="639" spans="1:3" hidden="1" outlineLevel="1">
      <c r="A639" s="12"/>
      <c r="B639" s="12" t="s">
        <v>542</v>
      </c>
      <c r="C639" s="24">
        <v>134557.03</v>
      </c>
    </row>
    <row r="640" spans="1:3" hidden="1" outlineLevel="1">
      <c r="A640" s="12"/>
      <c r="B640" s="12" t="s">
        <v>264</v>
      </c>
      <c r="C640" s="24">
        <v>131946.85999999999</v>
      </c>
    </row>
    <row r="641" spans="1:3" hidden="1" outlineLevel="1">
      <c r="A641" s="12"/>
      <c r="B641" s="12" t="s">
        <v>543</v>
      </c>
      <c r="C641" s="24">
        <v>129096.82</v>
      </c>
    </row>
    <row r="642" spans="1:3" hidden="1" outlineLevel="1">
      <c r="A642" s="12"/>
      <c r="B642" s="12" t="s">
        <v>269</v>
      </c>
      <c r="C642" s="24">
        <v>125554.15</v>
      </c>
    </row>
    <row r="643" spans="1:3" hidden="1" outlineLevel="1">
      <c r="A643" s="12"/>
      <c r="B643" s="12" t="s">
        <v>544</v>
      </c>
      <c r="C643" s="24">
        <v>124667.03</v>
      </c>
    </row>
    <row r="644" spans="1:3" hidden="1" outlineLevel="1">
      <c r="A644" s="12"/>
      <c r="B644" s="12" t="s">
        <v>545</v>
      </c>
      <c r="C644" s="24">
        <v>119156.11</v>
      </c>
    </row>
    <row r="645" spans="1:3" hidden="1" outlineLevel="1">
      <c r="A645" s="12"/>
      <c r="B645" s="12" t="s">
        <v>546</v>
      </c>
      <c r="C645" s="24">
        <v>97095.48</v>
      </c>
    </row>
    <row r="646" spans="1:3" hidden="1" outlineLevel="1">
      <c r="A646" s="12"/>
      <c r="B646" s="12" t="s">
        <v>547</v>
      </c>
      <c r="C646" s="24">
        <v>94116.32</v>
      </c>
    </row>
    <row r="647" spans="1:3" hidden="1" outlineLevel="1">
      <c r="A647" s="12"/>
      <c r="B647" s="12" t="s">
        <v>548</v>
      </c>
      <c r="C647" s="24">
        <v>91197.77</v>
      </c>
    </row>
    <row r="648" spans="1:3" hidden="1" outlineLevel="1">
      <c r="A648" s="12"/>
      <c r="B648" s="12" t="s">
        <v>549</v>
      </c>
      <c r="C648" s="24">
        <v>89922.67</v>
      </c>
    </row>
    <row r="649" spans="1:3" hidden="1" outlineLevel="1">
      <c r="A649" s="12"/>
      <c r="B649" s="12" t="s">
        <v>121</v>
      </c>
      <c r="C649" s="24">
        <v>88192.17</v>
      </c>
    </row>
    <row r="650" spans="1:3" hidden="1" outlineLevel="1">
      <c r="A650" s="12"/>
      <c r="B650" s="12" t="s">
        <v>550</v>
      </c>
      <c r="C650" s="24">
        <v>84235.199999999997</v>
      </c>
    </row>
    <row r="651" spans="1:3" hidden="1" outlineLevel="1">
      <c r="A651" s="12"/>
      <c r="B651" s="12" t="s">
        <v>551</v>
      </c>
      <c r="C651" s="24">
        <v>83251.929999999993</v>
      </c>
    </row>
    <row r="652" spans="1:3" hidden="1" outlineLevel="1">
      <c r="A652" s="12"/>
      <c r="B652" s="12" t="s">
        <v>552</v>
      </c>
      <c r="C652" s="24">
        <v>80814.47</v>
      </c>
    </row>
    <row r="653" spans="1:3" hidden="1" outlineLevel="1">
      <c r="A653" s="12"/>
      <c r="B653" s="12" t="s">
        <v>553</v>
      </c>
      <c r="C653" s="24">
        <v>77084.62</v>
      </c>
    </row>
    <row r="654" spans="1:3" hidden="1" outlineLevel="1">
      <c r="A654" s="12"/>
      <c r="B654" s="12" t="s">
        <v>554</v>
      </c>
      <c r="C654" s="24">
        <v>76631.33</v>
      </c>
    </row>
    <row r="655" spans="1:3" hidden="1" outlineLevel="1">
      <c r="A655" s="12"/>
      <c r="B655" s="12" t="s">
        <v>555</v>
      </c>
      <c r="C655" s="24">
        <v>76584.25</v>
      </c>
    </row>
    <row r="656" spans="1:3" hidden="1" outlineLevel="1">
      <c r="A656" s="12"/>
      <c r="B656" s="12" t="s">
        <v>556</v>
      </c>
      <c r="C656" s="24">
        <v>75833.34</v>
      </c>
    </row>
    <row r="657" spans="1:3" hidden="1" outlineLevel="1">
      <c r="A657" s="12"/>
      <c r="B657" s="12" t="s">
        <v>557</v>
      </c>
      <c r="C657" s="24">
        <v>73043.77</v>
      </c>
    </row>
    <row r="658" spans="1:3" hidden="1" outlineLevel="1">
      <c r="A658" s="12"/>
      <c r="B658" s="12" t="s">
        <v>558</v>
      </c>
      <c r="C658" s="24">
        <v>72704</v>
      </c>
    </row>
    <row r="659" spans="1:3" hidden="1" outlineLevel="1">
      <c r="A659" s="12"/>
      <c r="B659" s="12" t="s">
        <v>559</v>
      </c>
      <c r="C659" s="24">
        <v>68383.490000000005</v>
      </c>
    </row>
    <row r="660" spans="1:3" hidden="1" outlineLevel="1">
      <c r="A660" s="12"/>
      <c r="B660" s="12" t="s">
        <v>560</v>
      </c>
      <c r="C660" s="24">
        <v>67403.83</v>
      </c>
    </row>
    <row r="661" spans="1:3" hidden="1" outlineLevel="1">
      <c r="A661" s="12"/>
      <c r="B661" s="12" t="s">
        <v>561</v>
      </c>
      <c r="C661" s="24">
        <v>65615.14</v>
      </c>
    </row>
    <row r="662" spans="1:3" hidden="1" outlineLevel="1">
      <c r="A662" s="12"/>
      <c r="B662" s="12" t="s">
        <v>67</v>
      </c>
      <c r="C662" s="24">
        <v>62900.19</v>
      </c>
    </row>
    <row r="663" spans="1:3" hidden="1" outlineLevel="1">
      <c r="A663" s="12"/>
      <c r="B663" s="12" t="s">
        <v>562</v>
      </c>
      <c r="C663" s="24">
        <v>62248.159999999996</v>
      </c>
    </row>
    <row r="664" spans="1:3" hidden="1" outlineLevel="1">
      <c r="A664" s="12"/>
      <c r="B664" s="12" t="s">
        <v>563</v>
      </c>
      <c r="C664" s="24">
        <v>61969.59</v>
      </c>
    </row>
    <row r="665" spans="1:3" hidden="1" outlineLevel="1">
      <c r="A665" s="12"/>
      <c r="B665" s="12" t="s">
        <v>83</v>
      </c>
      <c r="C665" s="24">
        <v>61449.59</v>
      </c>
    </row>
    <row r="666" spans="1:3" hidden="1" outlineLevel="1">
      <c r="A666" s="12"/>
      <c r="B666" s="12" t="s">
        <v>564</v>
      </c>
      <c r="C666" s="24">
        <v>60000</v>
      </c>
    </row>
    <row r="667" spans="1:3" hidden="1" outlineLevel="1">
      <c r="A667" s="12"/>
      <c r="B667" s="12" t="s">
        <v>565</v>
      </c>
      <c r="C667" s="24">
        <v>49896.19</v>
      </c>
    </row>
    <row r="668" spans="1:3" hidden="1" outlineLevel="1">
      <c r="A668" s="12"/>
      <c r="B668" s="12" t="s">
        <v>566</v>
      </c>
      <c r="C668" s="24">
        <v>48557.82</v>
      </c>
    </row>
    <row r="669" spans="1:3" hidden="1" outlineLevel="1">
      <c r="A669" s="12"/>
      <c r="B669" s="12" t="s">
        <v>392</v>
      </c>
      <c r="C669" s="24">
        <v>47514.880000000005</v>
      </c>
    </row>
    <row r="670" spans="1:3" hidden="1" outlineLevel="1">
      <c r="A670" s="12"/>
      <c r="B670" s="12" t="s">
        <v>567</v>
      </c>
      <c r="C670" s="24">
        <v>43417.14</v>
      </c>
    </row>
    <row r="671" spans="1:3" hidden="1" outlineLevel="1">
      <c r="A671" s="12"/>
      <c r="B671" s="12" t="s">
        <v>568</v>
      </c>
      <c r="C671" s="24">
        <v>41689.800000000003</v>
      </c>
    </row>
    <row r="672" spans="1:3" hidden="1" outlineLevel="1">
      <c r="A672" s="12"/>
      <c r="B672" s="12" t="s">
        <v>569</v>
      </c>
      <c r="C672" s="24">
        <v>39803.019999999997</v>
      </c>
    </row>
    <row r="673" spans="1:3" hidden="1" outlineLevel="1">
      <c r="A673" s="12"/>
      <c r="B673" s="12" t="s">
        <v>570</v>
      </c>
      <c r="C673" s="24">
        <v>38034.339999999997</v>
      </c>
    </row>
    <row r="674" spans="1:3" hidden="1" outlineLevel="1">
      <c r="A674" s="12"/>
      <c r="B674" s="12" t="s">
        <v>571</v>
      </c>
      <c r="C674" s="24">
        <v>37875.35</v>
      </c>
    </row>
    <row r="675" spans="1:3" hidden="1" outlineLevel="1">
      <c r="A675" s="12"/>
      <c r="B675" s="12" t="s">
        <v>572</v>
      </c>
      <c r="C675" s="24">
        <v>37784.239999999998</v>
      </c>
    </row>
    <row r="676" spans="1:3" hidden="1" outlineLevel="1">
      <c r="A676" s="12"/>
      <c r="B676" s="12" t="s">
        <v>573</v>
      </c>
      <c r="C676" s="24">
        <v>37370.1</v>
      </c>
    </row>
    <row r="677" spans="1:3" hidden="1" outlineLevel="1">
      <c r="A677" s="12"/>
      <c r="B677" s="12" t="s">
        <v>574</v>
      </c>
      <c r="C677" s="24">
        <v>36062.29</v>
      </c>
    </row>
    <row r="678" spans="1:3" hidden="1" outlineLevel="1">
      <c r="A678" s="12"/>
      <c r="B678" s="12" t="s">
        <v>575</v>
      </c>
      <c r="C678" s="24">
        <v>35844.400000000001</v>
      </c>
    </row>
    <row r="679" spans="1:3" hidden="1" outlineLevel="1">
      <c r="A679" s="12"/>
      <c r="B679" s="12" t="s">
        <v>163</v>
      </c>
      <c r="C679" s="24">
        <v>34412.54</v>
      </c>
    </row>
    <row r="680" spans="1:3" hidden="1" outlineLevel="1">
      <c r="A680" s="12"/>
      <c r="B680" s="12" t="s">
        <v>307</v>
      </c>
      <c r="C680" s="24">
        <v>32026.639999999999</v>
      </c>
    </row>
    <row r="681" spans="1:3" hidden="1" outlineLevel="1">
      <c r="A681" s="12"/>
      <c r="B681" s="12" t="s">
        <v>373</v>
      </c>
      <c r="C681" s="24">
        <v>29458.720000000001</v>
      </c>
    </row>
    <row r="682" spans="1:3" hidden="1" outlineLevel="1">
      <c r="A682" s="12"/>
      <c r="B682" s="12" t="s">
        <v>576</v>
      </c>
      <c r="C682" s="24">
        <v>28896.02</v>
      </c>
    </row>
    <row r="683" spans="1:3" hidden="1" outlineLevel="1">
      <c r="A683" s="12"/>
      <c r="B683" s="12" t="s">
        <v>74</v>
      </c>
      <c r="C683" s="24">
        <v>28258.06</v>
      </c>
    </row>
    <row r="684" spans="1:3" hidden="1" outlineLevel="1">
      <c r="A684" s="12"/>
      <c r="B684" s="12" t="s">
        <v>577</v>
      </c>
      <c r="C684" s="24">
        <v>27946.43</v>
      </c>
    </row>
    <row r="685" spans="1:3" hidden="1" outlineLevel="1">
      <c r="A685" s="12"/>
      <c r="B685" s="12" t="s">
        <v>578</v>
      </c>
      <c r="C685" s="24">
        <v>26531.34</v>
      </c>
    </row>
    <row r="686" spans="1:3" hidden="1" outlineLevel="1">
      <c r="A686" s="12"/>
      <c r="B686" s="12" t="s">
        <v>579</v>
      </c>
      <c r="C686" s="24">
        <v>25714.27</v>
      </c>
    </row>
    <row r="687" spans="1:3" hidden="1" outlineLevel="1">
      <c r="A687" s="12"/>
      <c r="B687" s="12" t="s">
        <v>459</v>
      </c>
      <c r="C687" s="24">
        <v>24953.24</v>
      </c>
    </row>
    <row r="688" spans="1:3" hidden="1" outlineLevel="1">
      <c r="A688" s="12"/>
      <c r="B688" s="12" t="s">
        <v>580</v>
      </c>
      <c r="C688" s="24">
        <v>24877.99</v>
      </c>
    </row>
    <row r="689" spans="1:3" hidden="1" outlineLevel="1">
      <c r="A689" s="12"/>
      <c r="B689" s="12" t="s">
        <v>581</v>
      </c>
      <c r="C689" s="24">
        <v>23197.87</v>
      </c>
    </row>
    <row r="690" spans="1:3" hidden="1" outlineLevel="1">
      <c r="A690" s="12"/>
      <c r="B690" s="12" t="s">
        <v>582</v>
      </c>
      <c r="C690" s="24">
        <v>22416.440000000002</v>
      </c>
    </row>
    <row r="691" spans="1:3" hidden="1" outlineLevel="1">
      <c r="A691" s="12"/>
      <c r="B691" s="12" t="s">
        <v>583</v>
      </c>
      <c r="C691" s="24">
        <v>22051.19</v>
      </c>
    </row>
    <row r="692" spans="1:3" hidden="1" outlineLevel="1">
      <c r="A692" s="12"/>
      <c r="B692" s="12" t="s">
        <v>191</v>
      </c>
      <c r="C692" s="24">
        <v>18692.349999999999</v>
      </c>
    </row>
    <row r="693" spans="1:3" hidden="1" outlineLevel="1">
      <c r="A693" s="12"/>
      <c r="B693" s="12" t="s">
        <v>189</v>
      </c>
      <c r="C693" s="24">
        <v>18296.63</v>
      </c>
    </row>
    <row r="694" spans="1:3" hidden="1" outlineLevel="1">
      <c r="A694" s="12"/>
      <c r="B694" s="12" t="s">
        <v>584</v>
      </c>
      <c r="C694" s="24">
        <v>18000</v>
      </c>
    </row>
    <row r="695" spans="1:3" hidden="1" outlineLevel="1">
      <c r="A695" s="12"/>
      <c r="B695" s="12" t="s">
        <v>585</v>
      </c>
      <c r="C695" s="24">
        <v>16310.16</v>
      </c>
    </row>
    <row r="696" spans="1:3" hidden="1" outlineLevel="1">
      <c r="A696" s="12"/>
      <c r="B696" s="12" t="s">
        <v>217</v>
      </c>
      <c r="C696" s="24">
        <v>16185</v>
      </c>
    </row>
    <row r="697" spans="1:3" hidden="1" outlineLevel="1">
      <c r="A697" s="12"/>
      <c r="B697" s="12" t="s">
        <v>586</v>
      </c>
      <c r="C697" s="24">
        <v>15000</v>
      </c>
    </row>
    <row r="698" spans="1:3" hidden="1" outlineLevel="1">
      <c r="A698" s="12"/>
      <c r="B698" s="12" t="s">
        <v>444</v>
      </c>
      <c r="C698" s="24">
        <v>14841.37</v>
      </c>
    </row>
    <row r="699" spans="1:3" hidden="1" outlineLevel="1">
      <c r="A699" s="12"/>
      <c r="B699" s="12" t="s">
        <v>587</v>
      </c>
      <c r="C699" s="24">
        <v>13000</v>
      </c>
    </row>
    <row r="700" spans="1:3" hidden="1" outlineLevel="1">
      <c r="A700" s="12"/>
      <c r="B700" s="12" t="s">
        <v>588</v>
      </c>
      <c r="C700" s="24">
        <v>12749.02</v>
      </c>
    </row>
    <row r="701" spans="1:3" hidden="1" outlineLevel="1">
      <c r="A701" s="12"/>
      <c r="B701" s="12" t="s">
        <v>57</v>
      </c>
      <c r="C701" s="24">
        <v>12705.94</v>
      </c>
    </row>
    <row r="702" spans="1:3" hidden="1" outlineLevel="1">
      <c r="A702" s="12"/>
      <c r="B702" s="12" t="s">
        <v>184</v>
      </c>
      <c r="C702" s="24">
        <v>12673.68</v>
      </c>
    </row>
    <row r="703" spans="1:3" hidden="1" outlineLevel="1">
      <c r="A703" s="12"/>
      <c r="B703" s="12" t="s">
        <v>589</v>
      </c>
      <c r="C703" s="24">
        <v>12490.14</v>
      </c>
    </row>
    <row r="704" spans="1:3" hidden="1" outlineLevel="1">
      <c r="A704" s="12"/>
      <c r="B704" s="12" t="s">
        <v>72</v>
      </c>
      <c r="C704" s="24">
        <v>11337.14</v>
      </c>
    </row>
    <row r="705" spans="1:3" hidden="1" outlineLevel="1">
      <c r="A705" s="12"/>
      <c r="B705" s="12" t="s">
        <v>474</v>
      </c>
      <c r="C705" s="24">
        <v>11196.55</v>
      </c>
    </row>
    <row r="706" spans="1:3" hidden="1" outlineLevel="1">
      <c r="A706" s="12"/>
      <c r="B706" s="12" t="s">
        <v>590</v>
      </c>
      <c r="C706" s="24">
        <v>10157.73</v>
      </c>
    </row>
    <row r="707" spans="1:3" hidden="1" outlineLevel="1">
      <c r="A707" s="12"/>
      <c r="B707" s="12" t="s">
        <v>205</v>
      </c>
      <c r="C707" s="24">
        <v>9739.7199999999993</v>
      </c>
    </row>
    <row r="708" spans="1:3" hidden="1" outlineLevel="1">
      <c r="A708" s="12"/>
      <c r="B708" s="12" t="s">
        <v>591</v>
      </c>
      <c r="C708" s="24">
        <v>9663.35</v>
      </c>
    </row>
    <row r="709" spans="1:3" hidden="1" outlineLevel="1">
      <c r="A709" s="12"/>
      <c r="B709" s="12" t="s">
        <v>592</v>
      </c>
      <c r="C709" s="24">
        <v>9397.7099999999991</v>
      </c>
    </row>
    <row r="710" spans="1:3" hidden="1" outlineLevel="1">
      <c r="A710" s="12"/>
      <c r="B710" s="12" t="s">
        <v>593</v>
      </c>
      <c r="C710" s="24">
        <v>9250</v>
      </c>
    </row>
    <row r="711" spans="1:3" hidden="1" outlineLevel="1">
      <c r="A711" s="12"/>
      <c r="B711" s="12" t="s">
        <v>594</v>
      </c>
      <c r="C711" s="24">
        <v>9215.41</v>
      </c>
    </row>
    <row r="712" spans="1:3" hidden="1" outlineLevel="1">
      <c r="A712" s="12"/>
      <c r="B712" s="12" t="s">
        <v>473</v>
      </c>
      <c r="C712" s="24">
        <v>8441.94</v>
      </c>
    </row>
    <row r="713" spans="1:3" hidden="1" outlineLevel="1">
      <c r="A713" s="12"/>
      <c r="B713" s="12" t="s">
        <v>595</v>
      </c>
      <c r="C713" s="24">
        <v>8112.53</v>
      </c>
    </row>
    <row r="714" spans="1:3" hidden="1" outlineLevel="1">
      <c r="A714" s="12"/>
      <c r="B714" s="12" t="s">
        <v>399</v>
      </c>
      <c r="C714" s="24">
        <v>7970.51</v>
      </c>
    </row>
    <row r="715" spans="1:3" hidden="1" outlineLevel="1">
      <c r="A715" s="12"/>
      <c r="B715" s="12" t="s">
        <v>596</v>
      </c>
      <c r="C715" s="24">
        <v>7800</v>
      </c>
    </row>
    <row r="716" spans="1:3" hidden="1" outlineLevel="1">
      <c r="A716" s="12"/>
      <c r="B716" s="12" t="s">
        <v>472</v>
      </c>
      <c r="C716" s="24">
        <v>7200</v>
      </c>
    </row>
    <row r="717" spans="1:3" hidden="1" outlineLevel="1">
      <c r="A717" s="12"/>
      <c r="B717" s="12" t="s">
        <v>597</v>
      </c>
      <c r="C717" s="24">
        <v>6667.7000000000007</v>
      </c>
    </row>
    <row r="718" spans="1:3" hidden="1" outlineLevel="1">
      <c r="A718" s="12"/>
      <c r="B718" s="12" t="s">
        <v>598</v>
      </c>
      <c r="C718" s="24">
        <v>6362.5</v>
      </c>
    </row>
    <row r="719" spans="1:3" hidden="1" outlineLevel="1">
      <c r="A719" s="12"/>
      <c r="B719" s="12" t="s">
        <v>195</v>
      </c>
      <c r="C719" s="24">
        <v>6169.41</v>
      </c>
    </row>
    <row r="720" spans="1:3" hidden="1" outlineLevel="1">
      <c r="A720" s="12"/>
      <c r="B720" s="12" t="s">
        <v>599</v>
      </c>
      <c r="C720" s="24">
        <v>5633.36</v>
      </c>
    </row>
    <row r="721" spans="1:3" hidden="1" outlineLevel="1">
      <c r="A721" s="12"/>
      <c r="B721" s="12" t="s">
        <v>169</v>
      </c>
      <c r="C721" s="24">
        <v>5430.65</v>
      </c>
    </row>
    <row r="722" spans="1:3" hidden="1" outlineLevel="1">
      <c r="A722" s="12"/>
      <c r="B722" s="12" t="s">
        <v>600</v>
      </c>
      <c r="C722" s="24">
        <v>5183.3100000000004</v>
      </c>
    </row>
    <row r="723" spans="1:3" hidden="1" outlineLevel="1">
      <c r="A723" s="12"/>
      <c r="B723" s="12" t="s">
        <v>395</v>
      </c>
      <c r="C723" s="24">
        <v>4971</v>
      </c>
    </row>
    <row r="724" spans="1:3" hidden="1" outlineLevel="1">
      <c r="A724" s="12"/>
      <c r="B724" s="12" t="s">
        <v>207</v>
      </c>
      <c r="C724" s="24">
        <v>4600</v>
      </c>
    </row>
    <row r="725" spans="1:3" hidden="1" outlineLevel="1">
      <c r="A725" s="12"/>
      <c r="B725" s="12" t="s">
        <v>402</v>
      </c>
      <c r="C725" s="24">
        <v>4476.1499999999996</v>
      </c>
    </row>
    <row r="726" spans="1:3" hidden="1" outlineLevel="1">
      <c r="A726" s="12"/>
      <c r="B726" s="12" t="s">
        <v>601</v>
      </c>
      <c r="C726" s="24">
        <v>4393.09</v>
      </c>
    </row>
    <row r="727" spans="1:3" hidden="1" outlineLevel="1">
      <c r="A727" s="12"/>
      <c r="B727" s="12" t="s">
        <v>602</v>
      </c>
      <c r="C727" s="24">
        <v>4212.6000000000004</v>
      </c>
    </row>
    <row r="728" spans="1:3" hidden="1" outlineLevel="1">
      <c r="A728" s="12"/>
      <c r="B728" s="12" t="s">
        <v>603</v>
      </c>
      <c r="C728" s="24">
        <v>4049.4</v>
      </c>
    </row>
    <row r="729" spans="1:3" hidden="1" outlineLevel="1">
      <c r="A729" s="12"/>
      <c r="B729" s="12" t="s">
        <v>604</v>
      </c>
      <c r="C729" s="24">
        <v>3996.43</v>
      </c>
    </row>
    <row r="730" spans="1:3" hidden="1" outlineLevel="1">
      <c r="A730" s="12"/>
      <c r="B730" s="12" t="s">
        <v>76</v>
      </c>
      <c r="C730" s="24">
        <v>3838.3</v>
      </c>
    </row>
    <row r="731" spans="1:3" hidden="1" outlineLevel="1">
      <c r="A731" s="12"/>
      <c r="B731" s="12" t="s">
        <v>84</v>
      </c>
      <c r="C731" s="24">
        <v>3680.54</v>
      </c>
    </row>
    <row r="732" spans="1:3" hidden="1" outlineLevel="1">
      <c r="A732" s="12"/>
      <c r="B732" s="12" t="s">
        <v>81</v>
      </c>
      <c r="C732" s="24">
        <v>3526.12</v>
      </c>
    </row>
    <row r="733" spans="1:3" hidden="1" outlineLevel="1">
      <c r="A733" s="12"/>
      <c r="B733" s="12" t="s">
        <v>605</v>
      </c>
      <c r="C733" s="24">
        <v>3466.67</v>
      </c>
    </row>
    <row r="734" spans="1:3" hidden="1" outlineLevel="1">
      <c r="A734" s="12"/>
      <c r="B734" s="12" t="s">
        <v>208</v>
      </c>
      <c r="C734" s="24">
        <v>3459.44</v>
      </c>
    </row>
    <row r="735" spans="1:3" hidden="1" outlineLevel="1">
      <c r="A735" s="12"/>
      <c r="B735" s="12" t="s">
        <v>90</v>
      </c>
      <c r="C735" s="24">
        <v>3399.92</v>
      </c>
    </row>
    <row r="736" spans="1:3" hidden="1" outlineLevel="1">
      <c r="A736" s="12"/>
      <c r="B736" s="12" t="s">
        <v>487</v>
      </c>
      <c r="C736" s="24">
        <v>3258.1</v>
      </c>
    </row>
    <row r="737" spans="1:3" hidden="1" outlineLevel="1">
      <c r="A737" s="12"/>
      <c r="B737" s="12" t="s">
        <v>606</v>
      </c>
      <c r="C737" s="24">
        <v>3042.3</v>
      </c>
    </row>
    <row r="738" spans="1:3" hidden="1" outlineLevel="1">
      <c r="A738" s="12"/>
      <c r="B738" s="12" t="s">
        <v>96</v>
      </c>
      <c r="C738" s="24">
        <v>2889.0600000000004</v>
      </c>
    </row>
    <row r="739" spans="1:3" hidden="1" outlineLevel="1">
      <c r="A739" s="12"/>
      <c r="B739" s="12" t="s">
        <v>188</v>
      </c>
      <c r="C739" s="24">
        <v>2643.98</v>
      </c>
    </row>
    <row r="740" spans="1:3" hidden="1" outlineLevel="1">
      <c r="A740" s="12"/>
      <c r="B740" s="12" t="s">
        <v>403</v>
      </c>
      <c r="C740" s="24">
        <v>2400</v>
      </c>
    </row>
    <row r="741" spans="1:3" hidden="1" outlineLevel="1">
      <c r="A741" s="12"/>
      <c r="B741" s="12" t="s">
        <v>607</v>
      </c>
      <c r="C741" s="24">
        <v>2250</v>
      </c>
    </row>
    <row r="742" spans="1:3" hidden="1" outlineLevel="1">
      <c r="A742" s="12"/>
      <c r="B742" s="12" t="s">
        <v>608</v>
      </c>
      <c r="C742" s="24">
        <v>2215.84</v>
      </c>
    </row>
    <row r="743" spans="1:3" hidden="1" outlineLevel="1">
      <c r="A743" s="12"/>
      <c r="B743" s="12" t="s">
        <v>389</v>
      </c>
      <c r="C743" s="24">
        <v>2183.27</v>
      </c>
    </row>
    <row r="744" spans="1:3" hidden="1" outlineLevel="1">
      <c r="A744" s="12"/>
      <c r="B744" s="12" t="s">
        <v>609</v>
      </c>
      <c r="C744" s="24">
        <v>2000</v>
      </c>
    </row>
    <row r="745" spans="1:3" hidden="1" outlineLevel="1">
      <c r="A745" s="12"/>
      <c r="B745" s="12" t="s">
        <v>610</v>
      </c>
      <c r="C745" s="24">
        <v>1869.58</v>
      </c>
    </row>
    <row r="746" spans="1:3" hidden="1" outlineLevel="1">
      <c r="A746" s="12"/>
      <c r="B746" s="12" t="s">
        <v>319</v>
      </c>
      <c r="C746" s="24">
        <v>1707.22</v>
      </c>
    </row>
    <row r="747" spans="1:3" hidden="1" outlineLevel="1">
      <c r="A747" s="12"/>
      <c r="B747" s="12" t="s">
        <v>611</v>
      </c>
      <c r="C747" s="24">
        <v>1588.24</v>
      </c>
    </row>
    <row r="748" spans="1:3" hidden="1" outlineLevel="1">
      <c r="A748" s="12"/>
      <c r="B748" s="12" t="s">
        <v>612</v>
      </c>
      <c r="C748" s="24">
        <v>1550</v>
      </c>
    </row>
    <row r="749" spans="1:3" hidden="1" outlineLevel="1">
      <c r="A749" s="12"/>
      <c r="B749" s="12" t="s">
        <v>322</v>
      </c>
      <c r="C749" s="24">
        <v>1189.9000000000001</v>
      </c>
    </row>
    <row r="750" spans="1:3" hidden="1" outlineLevel="1">
      <c r="A750" s="12"/>
      <c r="B750" s="12" t="s">
        <v>97</v>
      </c>
      <c r="C750" s="24">
        <v>1167.3699999999999</v>
      </c>
    </row>
    <row r="751" spans="1:3" hidden="1" outlineLevel="1">
      <c r="A751" s="12"/>
      <c r="B751" s="12" t="s">
        <v>613</v>
      </c>
      <c r="C751" s="24">
        <v>923.36</v>
      </c>
    </row>
    <row r="752" spans="1:3" hidden="1" outlineLevel="1">
      <c r="A752" s="12"/>
      <c r="B752" s="12" t="s">
        <v>406</v>
      </c>
      <c r="C752" s="24">
        <v>887.74</v>
      </c>
    </row>
    <row r="753" spans="1:3" hidden="1" outlineLevel="1">
      <c r="A753" s="12"/>
      <c r="B753" s="12" t="s">
        <v>614</v>
      </c>
      <c r="C753" s="24">
        <v>798.24</v>
      </c>
    </row>
    <row r="754" spans="1:3" hidden="1" outlineLevel="1">
      <c r="A754" s="12"/>
      <c r="B754" s="12" t="s">
        <v>615</v>
      </c>
      <c r="C754" s="24">
        <v>774.58</v>
      </c>
    </row>
    <row r="755" spans="1:3" hidden="1" outlineLevel="1">
      <c r="A755" s="12"/>
      <c r="B755" s="12" t="s">
        <v>85</v>
      </c>
      <c r="C755" s="24">
        <v>709.28</v>
      </c>
    </row>
    <row r="756" spans="1:3" hidden="1" outlineLevel="1">
      <c r="A756" s="12"/>
      <c r="B756" s="12" t="s">
        <v>199</v>
      </c>
      <c r="C756" s="24">
        <v>661.51</v>
      </c>
    </row>
    <row r="757" spans="1:3" hidden="1" outlineLevel="1">
      <c r="A757" s="12"/>
      <c r="B757" s="12" t="s">
        <v>330</v>
      </c>
      <c r="C757" s="24">
        <v>660</v>
      </c>
    </row>
    <row r="758" spans="1:3" hidden="1" outlineLevel="1">
      <c r="A758" s="12"/>
      <c r="B758" s="12" t="s">
        <v>95</v>
      </c>
      <c r="C758" s="24">
        <v>574.23</v>
      </c>
    </row>
    <row r="759" spans="1:3" hidden="1" outlineLevel="1">
      <c r="A759" s="12"/>
      <c r="B759" s="12" t="s">
        <v>616</v>
      </c>
      <c r="C759" s="24">
        <v>559.28</v>
      </c>
    </row>
    <row r="760" spans="1:3" hidden="1" outlineLevel="1">
      <c r="A760" s="12"/>
      <c r="B760" s="12" t="s">
        <v>214</v>
      </c>
      <c r="C760" s="24">
        <v>521.9</v>
      </c>
    </row>
    <row r="761" spans="1:3" hidden="1" outlineLevel="1">
      <c r="A761" s="12"/>
      <c r="B761" s="12" t="s">
        <v>617</v>
      </c>
      <c r="C761" s="24">
        <v>486.67</v>
      </c>
    </row>
    <row r="762" spans="1:3" hidden="1" outlineLevel="1">
      <c r="A762" s="12"/>
      <c r="B762" s="12" t="s">
        <v>491</v>
      </c>
      <c r="C762" s="24">
        <v>401.28</v>
      </c>
    </row>
    <row r="763" spans="1:3" hidden="1" outlineLevel="1">
      <c r="A763" s="12"/>
      <c r="B763" s="12" t="s">
        <v>618</v>
      </c>
      <c r="C763" s="24">
        <v>400</v>
      </c>
    </row>
    <row r="764" spans="1:3" hidden="1" outlineLevel="1">
      <c r="A764" s="12"/>
      <c r="B764" s="12" t="s">
        <v>312</v>
      </c>
      <c r="C764" s="24">
        <v>360</v>
      </c>
    </row>
    <row r="765" spans="1:3" hidden="1" outlineLevel="1">
      <c r="A765" s="12"/>
      <c r="B765" s="12" t="s">
        <v>619</v>
      </c>
      <c r="C765" s="24">
        <v>274.98</v>
      </c>
    </row>
    <row r="766" spans="1:3" hidden="1" outlineLevel="1">
      <c r="A766" s="12"/>
      <c r="B766" s="12" t="s">
        <v>620</v>
      </c>
      <c r="C766" s="24">
        <v>270.18</v>
      </c>
    </row>
    <row r="767" spans="1:3" hidden="1" outlineLevel="1">
      <c r="A767" s="12"/>
      <c r="B767" s="12" t="s">
        <v>408</v>
      </c>
      <c r="C767" s="24">
        <v>266.95</v>
      </c>
    </row>
    <row r="768" spans="1:3" hidden="1" outlineLevel="1">
      <c r="A768" s="12"/>
      <c r="B768" s="12" t="s">
        <v>621</v>
      </c>
      <c r="C768" s="24">
        <v>158.82</v>
      </c>
    </row>
    <row r="769" spans="1:3" hidden="1" outlineLevel="1">
      <c r="A769" s="12"/>
      <c r="B769" s="12" t="s">
        <v>622</v>
      </c>
      <c r="C769" s="24">
        <v>152.53</v>
      </c>
    </row>
    <row r="770" spans="1:3" hidden="1" outlineLevel="1">
      <c r="A770" s="12"/>
      <c r="B770" s="12" t="s">
        <v>102</v>
      </c>
      <c r="C770" s="24">
        <v>112.2</v>
      </c>
    </row>
    <row r="771" spans="1:3" hidden="1" outlineLevel="1">
      <c r="A771" s="12"/>
      <c r="B771" s="12" t="s">
        <v>623</v>
      </c>
      <c r="C771" s="24">
        <v>112.2</v>
      </c>
    </row>
    <row r="772" spans="1:3" hidden="1" outlineLevel="1">
      <c r="A772" s="12"/>
      <c r="B772" s="12" t="s">
        <v>492</v>
      </c>
      <c r="C772" s="24">
        <v>99.75</v>
      </c>
    </row>
    <row r="773" spans="1:3" hidden="1" outlineLevel="1">
      <c r="A773" s="12"/>
      <c r="B773" s="12" t="s">
        <v>624</v>
      </c>
      <c r="C773" s="24">
        <v>94.69</v>
      </c>
    </row>
    <row r="774" spans="1:3" collapsed="1">
      <c r="A774" s="12"/>
      <c r="B774" s="25"/>
      <c r="C774" s="26">
        <f>SUM(C579:C598)</f>
        <v>38440642.700000003</v>
      </c>
    </row>
    <row r="775" spans="1:3">
      <c r="A775" s="12"/>
      <c r="B775" s="12"/>
      <c r="C775" s="24"/>
    </row>
    <row r="776" spans="1:3">
      <c r="A776" s="47" t="s">
        <v>11</v>
      </c>
      <c r="B776" s="12" t="s">
        <v>625</v>
      </c>
      <c r="C776" s="24">
        <v>13529088.220000001</v>
      </c>
    </row>
    <row r="777" spans="1:3">
      <c r="A777" s="47"/>
      <c r="B777" s="12" t="s">
        <v>626</v>
      </c>
      <c r="C777" s="24">
        <v>3869088.76</v>
      </c>
    </row>
    <row r="778" spans="1:3">
      <c r="A778" s="47"/>
      <c r="B778" s="12" t="s">
        <v>627</v>
      </c>
      <c r="C778" s="24">
        <v>1498809.44</v>
      </c>
    </row>
    <row r="779" spans="1:3">
      <c r="A779" s="47"/>
      <c r="B779" s="12" t="s">
        <v>628</v>
      </c>
      <c r="C779" s="24">
        <v>1204792.81</v>
      </c>
    </row>
    <row r="780" spans="1:3">
      <c r="A780" s="47"/>
      <c r="B780" s="12" t="s">
        <v>629</v>
      </c>
      <c r="C780" s="24">
        <v>1132181.5900000001</v>
      </c>
    </row>
    <row r="781" spans="1:3">
      <c r="A781" s="47"/>
      <c r="B781" s="12" t="s">
        <v>240</v>
      </c>
      <c r="C781" s="24">
        <v>857702.9</v>
      </c>
    </row>
    <row r="782" spans="1:3">
      <c r="A782" s="47"/>
      <c r="B782" s="12" t="s">
        <v>630</v>
      </c>
      <c r="C782" s="24">
        <v>829341.93</v>
      </c>
    </row>
    <row r="783" spans="1:3">
      <c r="A783" s="47"/>
      <c r="B783" s="12" t="s">
        <v>631</v>
      </c>
      <c r="C783" s="24">
        <v>777536.64</v>
      </c>
    </row>
    <row r="784" spans="1:3">
      <c r="A784" s="47"/>
      <c r="B784" s="12" t="s">
        <v>632</v>
      </c>
      <c r="C784" s="24">
        <v>685814.62</v>
      </c>
    </row>
    <row r="785" spans="1:3">
      <c r="A785" s="47"/>
      <c r="B785" s="12" t="s">
        <v>535</v>
      </c>
      <c r="C785" s="24">
        <v>511816.59</v>
      </c>
    </row>
    <row r="786" spans="1:3">
      <c r="A786" s="47"/>
      <c r="B786" s="12" t="s">
        <v>633</v>
      </c>
      <c r="C786" s="24">
        <v>501347</v>
      </c>
    </row>
    <row r="787" spans="1:3">
      <c r="A787" s="47"/>
      <c r="B787" s="12" t="s">
        <v>634</v>
      </c>
      <c r="C787" s="24">
        <v>468825.82</v>
      </c>
    </row>
    <row r="788" spans="1:3">
      <c r="A788" s="47"/>
      <c r="B788" s="12" t="s">
        <v>635</v>
      </c>
      <c r="C788" s="24">
        <v>387620.96</v>
      </c>
    </row>
    <row r="789" spans="1:3">
      <c r="A789" s="47"/>
      <c r="B789" s="12" t="s">
        <v>253</v>
      </c>
      <c r="C789" s="24">
        <v>332376.33</v>
      </c>
    </row>
    <row r="790" spans="1:3">
      <c r="A790" s="47"/>
      <c r="B790" s="12" t="s">
        <v>636</v>
      </c>
      <c r="C790" s="24">
        <v>302214.42</v>
      </c>
    </row>
    <row r="791" spans="1:3">
      <c r="A791" s="47"/>
      <c r="B791" s="12" t="s">
        <v>637</v>
      </c>
      <c r="C791" s="24">
        <v>280000</v>
      </c>
    </row>
    <row r="792" spans="1:3">
      <c r="A792" s="47"/>
      <c r="B792" s="12" t="s">
        <v>638</v>
      </c>
      <c r="C792" s="24">
        <v>279642.01</v>
      </c>
    </row>
    <row r="793" spans="1:3">
      <c r="A793" s="47"/>
      <c r="B793" s="12" t="s">
        <v>639</v>
      </c>
      <c r="C793" s="24">
        <v>256666.84</v>
      </c>
    </row>
    <row r="794" spans="1:3">
      <c r="A794" s="47"/>
      <c r="B794" s="12" t="s">
        <v>640</v>
      </c>
      <c r="C794" s="24">
        <v>245734.43</v>
      </c>
    </row>
    <row r="795" spans="1:3">
      <c r="A795" s="47"/>
      <c r="B795" s="12" t="s">
        <v>641</v>
      </c>
      <c r="C795" s="24">
        <v>240106.32</v>
      </c>
    </row>
    <row r="796" spans="1:3" hidden="1" outlineLevel="1">
      <c r="A796" s="12"/>
      <c r="B796" s="12" t="s">
        <v>642</v>
      </c>
      <c r="C796" s="24">
        <v>231204.55</v>
      </c>
    </row>
    <row r="797" spans="1:3" hidden="1" outlineLevel="1">
      <c r="A797" s="12"/>
      <c r="B797" s="12" t="s">
        <v>643</v>
      </c>
      <c r="C797" s="24">
        <v>223261.01</v>
      </c>
    </row>
    <row r="798" spans="1:3" hidden="1" outlineLevel="1">
      <c r="A798" s="12"/>
      <c r="B798" s="12" t="s">
        <v>644</v>
      </c>
      <c r="C798" s="24">
        <v>199353.38</v>
      </c>
    </row>
    <row r="799" spans="1:3" hidden="1" outlineLevel="1">
      <c r="A799" s="12"/>
      <c r="B799" s="12" t="s">
        <v>645</v>
      </c>
      <c r="C799" s="24">
        <v>146642.41</v>
      </c>
    </row>
    <row r="800" spans="1:3" hidden="1" outlineLevel="1">
      <c r="A800" s="12"/>
      <c r="B800" s="12" t="s">
        <v>646</v>
      </c>
      <c r="C800" s="24">
        <v>137785.71</v>
      </c>
    </row>
    <row r="801" spans="1:3" hidden="1" outlineLevel="1">
      <c r="A801" s="12"/>
      <c r="B801" s="12" t="s">
        <v>647</v>
      </c>
      <c r="C801" s="24">
        <v>127790.26</v>
      </c>
    </row>
    <row r="802" spans="1:3" hidden="1" outlineLevel="1">
      <c r="A802" s="12"/>
      <c r="B802" s="12" t="s">
        <v>648</v>
      </c>
      <c r="C802" s="24">
        <v>119927.66</v>
      </c>
    </row>
    <row r="803" spans="1:3" hidden="1" outlineLevel="1">
      <c r="A803" s="12"/>
      <c r="B803" s="12" t="s">
        <v>649</v>
      </c>
      <c r="C803" s="24">
        <v>117654.27</v>
      </c>
    </row>
    <row r="804" spans="1:3" hidden="1" outlineLevel="1">
      <c r="A804" s="12"/>
      <c r="B804" s="12" t="s">
        <v>570</v>
      </c>
      <c r="C804" s="24">
        <v>114103.01999999999</v>
      </c>
    </row>
    <row r="805" spans="1:3" hidden="1" outlineLevel="1">
      <c r="A805" s="12"/>
      <c r="B805" s="12" t="s">
        <v>650</v>
      </c>
      <c r="C805" s="24">
        <v>99415.05</v>
      </c>
    </row>
    <row r="806" spans="1:3" hidden="1" outlineLevel="1">
      <c r="A806" s="12"/>
      <c r="B806" s="12" t="s">
        <v>651</v>
      </c>
      <c r="C806" s="24">
        <v>99127.22</v>
      </c>
    </row>
    <row r="807" spans="1:3" hidden="1" outlineLevel="1">
      <c r="A807" s="12"/>
      <c r="B807" s="12" t="s">
        <v>652</v>
      </c>
      <c r="C807" s="24">
        <v>97169.47</v>
      </c>
    </row>
    <row r="808" spans="1:3" hidden="1" outlineLevel="1">
      <c r="A808" s="12"/>
      <c r="B808" s="12" t="s">
        <v>653</v>
      </c>
      <c r="C808" s="24">
        <v>92450.95</v>
      </c>
    </row>
    <row r="809" spans="1:3" hidden="1" outlineLevel="1">
      <c r="A809" s="12"/>
      <c r="B809" s="12" t="s">
        <v>563</v>
      </c>
      <c r="C809" s="24">
        <v>82626.12</v>
      </c>
    </row>
    <row r="810" spans="1:3" hidden="1" outlineLevel="1">
      <c r="A810" s="12"/>
      <c r="B810" s="12" t="s">
        <v>360</v>
      </c>
      <c r="C810" s="24">
        <v>80543.649999999994</v>
      </c>
    </row>
    <row r="811" spans="1:3" hidden="1" outlineLevel="1">
      <c r="A811" s="12"/>
      <c r="B811" s="12" t="s">
        <v>654</v>
      </c>
      <c r="C811" s="24">
        <v>79966.42</v>
      </c>
    </row>
    <row r="812" spans="1:3" hidden="1" outlineLevel="1">
      <c r="A812" s="12"/>
      <c r="B812" s="12" t="s">
        <v>655</v>
      </c>
      <c r="C812" s="24">
        <v>76033.290000000008</v>
      </c>
    </row>
    <row r="813" spans="1:3" hidden="1" outlineLevel="1">
      <c r="A813" s="12"/>
      <c r="B813" s="12" t="s">
        <v>656</v>
      </c>
      <c r="C813" s="24">
        <v>69657.570000000007</v>
      </c>
    </row>
    <row r="814" spans="1:3" hidden="1" outlineLevel="1">
      <c r="A814" s="12"/>
      <c r="B814" s="12" t="s">
        <v>657</v>
      </c>
      <c r="C814" s="24">
        <v>66735.06</v>
      </c>
    </row>
    <row r="815" spans="1:3" hidden="1" outlineLevel="1">
      <c r="A815" s="12"/>
      <c r="B815" s="12" t="s">
        <v>658</v>
      </c>
      <c r="C815" s="24">
        <v>65673.5</v>
      </c>
    </row>
    <row r="816" spans="1:3" hidden="1" outlineLevel="1">
      <c r="A816" s="12"/>
      <c r="B816" s="12" t="s">
        <v>659</v>
      </c>
      <c r="C816" s="24">
        <v>64279.38</v>
      </c>
    </row>
    <row r="817" spans="1:3" hidden="1" outlineLevel="1">
      <c r="A817" s="12"/>
      <c r="B817" s="12" t="s">
        <v>660</v>
      </c>
      <c r="C817" s="24">
        <v>58998.91</v>
      </c>
    </row>
    <row r="818" spans="1:3" hidden="1" outlineLevel="1">
      <c r="A818" s="12"/>
      <c r="B818" s="12" t="s">
        <v>661</v>
      </c>
      <c r="C818" s="24">
        <v>57277.919999999998</v>
      </c>
    </row>
    <row r="819" spans="1:3" hidden="1" outlineLevel="1">
      <c r="A819" s="12"/>
      <c r="B819" s="12" t="s">
        <v>662</v>
      </c>
      <c r="C819" s="24">
        <v>57099.11</v>
      </c>
    </row>
    <row r="820" spans="1:3" hidden="1" outlineLevel="1">
      <c r="A820" s="12"/>
      <c r="B820" s="12" t="s">
        <v>663</v>
      </c>
      <c r="C820" s="24">
        <v>53938.400000000001</v>
      </c>
    </row>
    <row r="821" spans="1:3" hidden="1" outlineLevel="1">
      <c r="A821" s="12"/>
      <c r="B821" s="12" t="s">
        <v>664</v>
      </c>
      <c r="C821" s="24">
        <v>48464.28</v>
      </c>
    </row>
    <row r="822" spans="1:3" hidden="1" outlineLevel="1">
      <c r="A822" s="12"/>
      <c r="B822" s="12" t="s">
        <v>665</v>
      </c>
      <c r="C822" s="24">
        <v>48071.9</v>
      </c>
    </row>
    <row r="823" spans="1:3" hidden="1" outlineLevel="1">
      <c r="A823" s="12"/>
      <c r="B823" s="12" t="s">
        <v>666</v>
      </c>
      <c r="C823" s="24">
        <v>48047.23</v>
      </c>
    </row>
    <row r="824" spans="1:3" hidden="1" outlineLevel="1">
      <c r="A824" s="12"/>
      <c r="B824" s="12" t="s">
        <v>667</v>
      </c>
      <c r="C824" s="24">
        <v>47165.46</v>
      </c>
    </row>
    <row r="825" spans="1:3" hidden="1" outlineLevel="1">
      <c r="A825" s="12"/>
      <c r="B825" s="12" t="s">
        <v>668</v>
      </c>
      <c r="C825" s="24">
        <v>45947.07</v>
      </c>
    </row>
    <row r="826" spans="1:3" hidden="1" outlineLevel="1">
      <c r="A826" s="12"/>
      <c r="B826" s="12" t="s">
        <v>669</v>
      </c>
      <c r="C826" s="24">
        <v>44208.62</v>
      </c>
    </row>
    <row r="827" spans="1:3" hidden="1" outlineLevel="1">
      <c r="A827" s="12"/>
      <c r="B827" s="12" t="s">
        <v>670</v>
      </c>
      <c r="C827" s="24">
        <v>42849.66</v>
      </c>
    </row>
    <row r="828" spans="1:3" hidden="1" outlineLevel="1">
      <c r="A828" s="12"/>
      <c r="B828" s="12" t="s">
        <v>671</v>
      </c>
      <c r="C828" s="24">
        <v>41192.71</v>
      </c>
    </row>
    <row r="829" spans="1:3" hidden="1" outlineLevel="1">
      <c r="A829" s="12"/>
      <c r="B829" s="12" t="s">
        <v>672</v>
      </c>
      <c r="C829" s="24">
        <v>40468.33</v>
      </c>
    </row>
    <row r="830" spans="1:3" hidden="1" outlineLevel="1">
      <c r="A830" s="12"/>
      <c r="B830" s="12" t="s">
        <v>673</v>
      </c>
      <c r="C830" s="24">
        <v>40419.269999999997</v>
      </c>
    </row>
    <row r="831" spans="1:3" hidden="1" outlineLevel="1">
      <c r="A831" s="12"/>
      <c r="B831" s="12" t="s">
        <v>674</v>
      </c>
      <c r="C831" s="24">
        <v>37551.910000000003</v>
      </c>
    </row>
    <row r="832" spans="1:3" hidden="1" outlineLevel="1">
      <c r="A832" s="12"/>
      <c r="B832" s="12" t="s">
        <v>675</v>
      </c>
      <c r="C832" s="24">
        <v>37163.94</v>
      </c>
    </row>
    <row r="833" spans="1:3" hidden="1" outlineLevel="1">
      <c r="A833" s="12"/>
      <c r="B833" s="12" t="s">
        <v>676</v>
      </c>
      <c r="C833" s="24">
        <v>37156.47</v>
      </c>
    </row>
    <row r="834" spans="1:3" hidden="1" outlineLevel="1">
      <c r="A834" s="12"/>
      <c r="B834" s="12" t="s">
        <v>677</v>
      </c>
      <c r="C834" s="24">
        <v>32620.19</v>
      </c>
    </row>
    <row r="835" spans="1:3" hidden="1" outlineLevel="1">
      <c r="A835" s="12"/>
      <c r="B835" s="12" t="s">
        <v>678</v>
      </c>
      <c r="C835" s="24">
        <v>32597.61</v>
      </c>
    </row>
    <row r="836" spans="1:3" hidden="1" outlineLevel="1">
      <c r="A836" s="12"/>
      <c r="B836" s="12" t="s">
        <v>586</v>
      </c>
      <c r="C836" s="24">
        <v>30000</v>
      </c>
    </row>
    <row r="837" spans="1:3" hidden="1" outlineLevel="1">
      <c r="A837" s="12"/>
      <c r="B837" s="12" t="s">
        <v>679</v>
      </c>
      <c r="C837" s="24">
        <v>28674.33</v>
      </c>
    </row>
    <row r="838" spans="1:3" hidden="1" outlineLevel="1">
      <c r="A838" s="12"/>
      <c r="B838" s="12" t="s">
        <v>406</v>
      </c>
      <c r="C838" s="24">
        <v>27519.94000000001</v>
      </c>
    </row>
    <row r="839" spans="1:3" hidden="1" outlineLevel="1">
      <c r="A839" s="12"/>
      <c r="B839" s="12" t="s">
        <v>680</v>
      </c>
      <c r="C839" s="24">
        <v>27209.22</v>
      </c>
    </row>
    <row r="840" spans="1:3" hidden="1" outlineLevel="1">
      <c r="A840" s="12"/>
      <c r="B840" s="12" t="s">
        <v>681</v>
      </c>
      <c r="C840" s="24">
        <v>24799.98</v>
      </c>
    </row>
    <row r="841" spans="1:3" hidden="1" outlineLevel="1">
      <c r="A841" s="12"/>
      <c r="B841" s="12" t="s">
        <v>682</v>
      </c>
      <c r="C841" s="24">
        <v>24783.87</v>
      </c>
    </row>
    <row r="842" spans="1:3" hidden="1" outlineLevel="1">
      <c r="A842" s="12"/>
      <c r="B842" s="12" t="s">
        <v>396</v>
      </c>
      <c r="C842" s="24">
        <v>23101</v>
      </c>
    </row>
    <row r="843" spans="1:3" hidden="1" outlineLevel="1">
      <c r="A843" s="12"/>
      <c r="B843" s="12" t="s">
        <v>683</v>
      </c>
      <c r="C843" s="24">
        <v>22783.78</v>
      </c>
    </row>
    <row r="844" spans="1:3" hidden="1" outlineLevel="1">
      <c r="A844" s="12"/>
      <c r="B844" s="12" t="s">
        <v>556</v>
      </c>
      <c r="C844" s="24">
        <v>22750</v>
      </c>
    </row>
    <row r="845" spans="1:3" hidden="1" outlineLevel="1">
      <c r="A845" s="12"/>
      <c r="B845" s="12" t="s">
        <v>684</v>
      </c>
      <c r="C845" s="24">
        <v>22390.799999999999</v>
      </c>
    </row>
    <row r="846" spans="1:3" hidden="1" outlineLevel="1">
      <c r="A846" s="12"/>
      <c r="B846" s="12" t="s">
        <v>204</v>
      </c>
      <c r="C846" s="24">
        <v>21656.260000000002</v>
      </c>
    </row>
    <row r="847" spans="1:3" hidden="1" outlineLevel="1">
      <c r="A847" s="12"/>
      <c r="B847" s="12" t="s">
        <v>67</v>
      </c>
      <c r="C847" s="24">
        <v>18500.059999999998</v>
      </c>
    </row>
    <row r="848" spans="1:3" hidden="1" outlineLevel="1">
      <c r="A848" s="12"/>
      <c r="B848" s="12" t="s">
        <v>70</v>
      </c>
      <c r="C848" s="24">
        <v>14176.55</v>
      </c>
    </row>
    <row r="849" spans="1:3" hidden="1" outlineLevel="1">
      <c r="A849" s="12"/>
      <c r="B849" s="12" t="s">
        <v>685</v>
      </c>
      <c r="C849" s="24">
        <v>14000</v>
      </c>
    </row>
    <row r="850" spans="1:3" hidden="1" outlineLevel="1">
      <c r="A850" s="12"/>
      <c r="B850" s="12" t="s">
        <v>686</v>
      </c>
      <c r="C850" s="24">
        <v>12931.03</v>
      </c>
    </row>
    <row r="851" spans="1:3" hidden="1" outlineLevel="1">
      <c r="A851" s="12"/>
      <c r="B851" s="12" t="s">
        <v>687</v>
      </c>
      <c r="C851" s="24">
        <v>12275.14</v>
      </c>
    </row>
    <row r="852" spans="1:3" hidden="1" outlineLevel="1">
      <c r="A852" s="12"/>
      <c r="B852" s="12" t="s">
        <v>191</v>
      </c>
      <c r="C852" s="24">
        <v>11885.39</v>
      </c>
    </row>
    <row r="853" spans="1:3" hidden="1" outlineLevel="1">
      <c r="A853" s="12"/>
      <c r="B853" s="12" t="s">
        <v>688</v>
      </c>
      <c r="C853" s="24">
        <v>11092.87</v>
      </c>
    </row>
    <row r="854" spans="1:3" hidden="1" outlineLevel="1">
      <c r="A854" s="12"/>
      <c r="B854" s="12" t="s">
        <v>598</v>
      </c>
      <c r="C854" s="24">
        <v>10604.16</v>
      </c>
    </row>
    <row r="855" spans="1:3" hidden="1" outlineLevel="1">
      <c r="A855" s="12"/>
      <c r="B855" s="12" t="s">
        <v>689</v>
      </c>
      <c r="C855" s="24">
        <v>10429.84</v>
      </c>
    </row>
    <row r="856" spans="1:3" hidden="1" outlineLevel="1">
      <c r="A856" s="12"/>
      <c r="B856" s="12" t="s">
        <v>690</v>
      </c>
      <c r="C856" s="24">
        <v>9749.27</v>
      </c>
    </row>
    <row r="857" spans="1:3" hidden="1" outlineLevel="1">
      <c r="A857" s="12"/>
      <c r="B857" s="12" t="s">
        <v>691</v>
      </c>
      <c r="C857" s="24">
        <v>9442.86</v>
      </c>
    </row>
    <row r="858" spans="1:3" hidden="1" outlineLevel="1">
      <c r="A858" s="12"/>
      <c r="B858" s="12" t="s">
        <v>303</v>
      </c>
      <c r="C858" s="24">
        <v>9164.82</v>
      </c>
    </row>
    <row r="859" spans="1:3" hidden="1" outlineLevel="1">
      <c r="A859" s="12"/>
      <c r="B859" s="12" t="s">
        <v>309</v>
      </c>
      <c r="C859" s="24">
        <v>8845</v>
      </c>
    </row>
    <row r="860" spans="1:3" hidden="1" outlineLevel="1">
      <c r="A860" s="12"/>
      <c r="B860" s="12" t="s">
        <v>692</v>
      </c>
      <c r="C860" s="24">
        <v>7318.19</v>
      </c>
    </row>
    <row r="861" spans="1:3" hidden="1" outlineLevel="1">
      <c r="A861" s="12"/>
      <c r="B861" s="12" t="s">
        <v>693</v>
      </c>
      <c r="C861" s="24">
        <v>6777.84</v>
      </c>
    </row>
    <row r="862" spans="1:3" hidden="1" outlineLevel="1">
      <c r="A862" s="12"/>
      <c r="B862" s="12" t="s">
        <v>694</v>
      </c>
      <c r="C862" s="24">
        <v>6767.78</v>
      </c>
    </row>
    <row r="863" spans="1:3" hidden="1" outlineLevel="1">
      <c r="A863" s="12"/>
      <c r="B863" s="12" t="s">
        <v>695</v>
      </c>
      <c r="C863" s="24">
        <v>6202.2199999999993</v>
      </c>
    </row>
    <row r="864" spans="1:3" hidden="1" outlineLevel="1">
      <c r="A864" s="12"/>
      <c r="B864" s="12" t="s">
        <v>189</v>
      </c>
      <c r="C864" s="24">
        <v>6098.87</v>
      </c>
    </row>
    <row r="865" spans="1:3" hidden="1" outlineLevel="1">
      <c r="A865" s="12"/>
      <c r="B865" s="12" t="s">
        <v>696</v>
      </c>
      <c r="C865" s="24">
        <v>5936.62</v>
      </c>
    </row>
    <row r="866" spans="1:3" hidden="1" outlineLevel="1">
      <c r="A866" s="12"/>
      <c r="B866" s="12" t="s">
        <v>697</v>
      </c>
      <c r="C866" s="24">
        <v>5533</v>
      </c>
    </row>
    <row r="867" spans="1:3" hidden="1" outlineLevel="1">
      <c r="A867" s="12"/>
      <c r="B867" s="12" t="s">
        <v>698</v>
      </c>
      <c r="C867" s="24">
        <v>5388.4</v>
      </c>
    </row>
    <row r="868" spans="1:3" hidden="1" outlineLevel="1">
      <c r="A868" s="12"/>
      <c r="B868" s="12" t="s">
        <v>699</v>
      </c>
      <c r="C868" s="24">
        <v>5322.32</v>
      </c>
    </row>
    <row r="869" spans="1:3" hidden="1" outlineLevel="1">
      <c r="A869" s="12"/>
      <c r="B869" s="12" t="s">
        <v>57</v>
      </c>
      <c r="C869" s="24">
        <v>5261.58</v>
      </c>
    </row>
    <row r="870" spans="1:3" hidden="1" outlineLevel="1">
      <c r="A870" s="12"/>
      <c r="B870" s="12" t="s">
        <v>700</v>
      </c>
      <c r="C870" s="24">
        <v>5072.63</v>
      </c>
    </row>
    <row r="871" spans="1:3" hidden="1" outlineLevel="1">
      <c r="A871" s="12"/>
      <c r="B871" s="12" t="s">
        <v>701</v>
      </c>
      <c r="C871" s="24">
        <v>4700</v>
      </c>
    </row>
    <row r="872" spans="1:3" hidden="1" outlineLevel="1">
      <c r="A872" s="12"/>
      <c r="B872" s="12" t="s">
        <v>702</v>
      </c>
      <c r="C872" s="24">
        <v>4500</v>
      </c>
    </row>
    <row r="873" spans="1:3" hidden="1" outlineLevel="1">
      <c r="A873" s="12"/>
      <c r="B873" s="12" t="s">
        <v>389</v>
      </c>
      <c r="C873" s="24">
        <v>4366.55</v>
      </c>
    </row>
    <row r="874" spans="1:3" hidden="1" outlineLevel="1">
      <c r="A874" s="12"/>
      <c r="B874" s="12" t="s">
        <v>703</v>
      </c>
      <c r="C874" s="24">
        <v>4359.21</v>
      </c>
    </row>
    <row r="875" spans="1:3" hidden="1" outlineLevel="1">
      <c r="A875" s="12"/>
      <c r="B875" s="12" t="s">
        <v>585</v>
      </c>
      <c r="C875" s="24">
        <v>4077.54</v>
      </c>
    </row>
    <row r="876" spans="1:3" hidden="1" outlineLevel="1">
      <c r="A876" s="12"/>
      <c r="B876" s="12" t="s">
        <v>704</v>
      </c>
      <c r="C876" s="24">
        <v>3434.73</v>
      </c>
    </row>
    <row r="877" spans="1:3" hidden="1" outlineLevel="1">
      <c r="A877" s="12"/>
      <c r="B877" s="12" t="s">
        <v>705</v>
      </c>
      <c r="C877" s="24">
        <v>3208.67</v>
      </c>
    </row>
    <row r="878" spans="1:3" hidden="1" outlineLevel="1">
      <c r="A878" s="12"/>
      <c r="B878" s="12" t="s">
        <v>706</v>
      </c>
      <c r="C878" s="24">
        <v>3118.62</v>
      </c>
    </row>
    <row r="879" spans="1:3" hidden="1" outlineLevel="1">
      <c r="A879" s="12"/>
      <c r="B879" s="12" t="s">
        <v>707</v>
      </c>
      <c r="C879" s="24">
        <v>3117.31</v>
      </c>
    </row>
    <row r="880" spans="1:3" hidden="1" outlineLevel="1">
      <c r="A880" s="12"/>
      <c r="B880" s="12" t="s">
        <v>708</v>
      </c>
      <c r="C880" s="24">
        <v>3000</v>
      </c>
    </row>
    <row r="881" spans="1:3" hidden="1" outlineLevel="1">
      <c r="A881" s="12"/>
      <c r="B881" s="12" t="s">
        <v>95</v>
      </c>
      <c r="C881" s="24">
        <v>2871.15</v>
      </c>
    </row>
    <row r="882" spans="1:3" hidden="1" outlineLevel="1">
      <c r="A882" s="12"/>
      <c r="B882" s="12" t="s">
        <v>709</v>
      </c>
      <c r="C882" s="24">
        <v>2823.32</v>
      </c>
    </row>
    <row r="883" spans="1:3" hidden="1" outlineLevel="1">
      <c r="A883" s="12"/>
      <c r="B883" s="12" t="s">
        <v>710</v>
      </c>
      <c r="C883" s="24">
        <v>2779.19</v>
      </c>
    </row>
    <row r="884" spans="1:3" hidden="1" outlineLevel="1">
      <c r="A884" s="12"/>
      <c r="B884" s="12" t="s">
        <v>711</v>
      </c>
      <c r="C884" s="24">
        <v>2618.5100000000002</v>
      </c>
    </row>
    <row r="885" spans="1:3" hidden="1" outlineLevel="1">
      <c r="A885" s="12"/>
      <c r="B885" s="12" t="s">
        <v>96</v>
      </c>
      <c r="C885" s="24">
        <v>2591.38</v>
      </c>
    </row>
    <row r="886" spans="1:3" hidden="1" outlineLevel="1">
      <c r="A886" s="12"/>
      <c r="B886" s="12" t="s">
        <v>90</v>
      </c>
      <c r="C886" s="24">
        <v>2549.94</v>
      </c>
    </row>
    <row r="887" spans="1:3" hidden="1" outlineLevel="1">
      <c r="A887" s="12"/>
      <c r="B887" s="12" t="s">
        <v>712</v>
      </c>
      <c r="C887" s="24">
        <v>2535.38</v>
      </c>
    </row>
    <row r="888" spans="1:3" hidden="1" outlineLevel="1">
      <c r="A888" s="12"/>
      <c r="B888" s="12" t="s">
        <v>713</v>
      </c>
      <c r="C888" s="24">
        <v>2521.0500000000002</v>
      </c>
    </row>
    <row r="889" spans="1:3" hidden="1" outlineLevel="1">
      <c r="A889" s="12"/>
      <c r="B889" s="12" t="s">
        <v>714</v>
      </c>
      <c r="C889" s="24">
        <v>2500</v>
      </c>
    </row>
    <row r="890" spans="1:3" hidden="1" outlineLevel="1">
      <c r="A890" s="12"/>
      <c r="B890" s="12" t="s">
        <v>395</v>
      </c>
      <c r="C890" s="24">
        <v>2485.5</v>
      </c>
    </row>
    <row r="891" spans="1:3" hidden="1" outlineLevel="1">
      <c r="A891" s="12"/>
      <c r="B891" s="12" t="s">
        <v>392</v>
      </c>
      <c r="C891" s="24">
        <v>2065.86</v>
      </c>
    </row>
    <row r="892" spans="1:3" hidden="1" outlineLevel="1">
      <c r="A892" s="12"/>
      <c r="B892" s="12" t="s">
        <v>715</v>
      </c>
      <c r="C892" s="24">
        <v>2027.52</v>
      </c>
    </row>
    <row r="893" spans="1:3" hidden="1" outlineLevel="1">
      <c r="A893" s="12"/>
      <c r="B893" s="12" t="s">
        <v>716</v>
      </c>
      <c r="C893" s="24">
        <v>1749.5</v>
      </c>
    </row>
    <row r="894" spans="1:3" hidden="1" outlineLevel="1">
      <c r="A894" s="12"/>
      <c r="B894" s="12" t="s">
        <v>717</v>
      </c>
      <c r="C894" s="24">
        <v>1734.44</v>
      </c>
    </row>
    <row r="895" spans="1:3" hidden="1" outlineLevel="1">
      <c r="A895" s="12"/>
      <c r="B895" s="12" t="s">
        <v>718</v>
      </c>
      <c r="C895" s="24">
        <v>1716.55</v>
      </c>
    </row>
    <row r="896" spans="1:3" hidden="1" outlineLevel="1">
      <c r="A896" s="12"/>
      <c r="B896" s="12" t="s">
        <v>719</v>
      </c>
      <c r="C896" s="24">
        <v>1684.45</v>
      </c>
    </row>
    <row r="897" spans="1:3" hidden="1" outlineLevel="1">
      <c r="A897" s="12"/>
      <c r="B897" s="12" t="s">
        <v>720</v>
      </c>
      <c r="C897" s="24">
        <v>1669.66</v>
      </c>
    </row>
    <row r="898" spans="1:3" hidden="1" outlineLevel="1">
      <c r="A898" s="12"/>
      <c r="B898" s="12" t="s">
        <v>30</v>
      </c>
      <c r="C898" s="24">
        <v>1643.01</v>
      </c>
    </row>
    <row r="899" spans="1:3" hidden="1" outlineLevel="1">
      <c r="A899" s="12"/>
      <c r="B899" s="12" t="s">
        <v>72</v>
      </c>
      <c r="C899" s="24">
        <v>1593.88</v>
      </c>
    </row>
    <row r="900" spans="1:3" hidden="1" outlineLevel="1">
      <c r="A900" s="12"/>
      <c r="B900" s="12" t="s">
        <v>721</v>
      </c>
      <c r="C900" s="24">
        <v>1562.84</v>
      </c>
    </row>
    <row r="901" spans="1:3" hidden="1" outlineLevel="1">
      <c r="A901" s="12"/>
      <c r="B901" s="12" t="s">
        <v>722</v>
      </c>
      <c r="C901" s="24">
        <v>1519.92</v>
      </c>
    </row>
    <row r="902" spans="1:3" hidden="1" outlineLevel="1">
      <c r="A902" s="12"/>
      <c r="B902" s="12" t="s">
        <v>86</v>
      </c>
      <c r="C902" s="24">
        <v>1501.07</v>
      </c>
    </row>
    <row r="903" spans="1:3" hidden="1" outlineLevel="1">
      <c r="A903" s="12"/>
      <c r="B903" s="12" t="s">
        <v>723</v>
      </c>
      <c r="C903" s="24">
        <v>1500</v>
      </c>
    </row>
    <row r="904" spans="1:3" hidden="1" outlineLevel="1">
      <c r="A904" s="12"/>
      <c r="B904" s="12" t="s">
        <v>724</v>
      </c>
      <c r="C904" s="24">
        <v>1491.05</v>
      </c>
    </row>
    <row r="905" spans="1:3" hidden="1" outlineLevel="1">
      <c r="A905" s="12"/>
      <c r="B905" s="12" t="s">
        <v>614</v>
      </c>
      <c r="C905" s="24">
        <v>1436.83</v>
      </c>
    </row>
    <row r="906" spans="1:3" hidden="1" outlineLevel="1">
      <c r="A906" s="12"/>
      <c r="B906" s="12" t="s">
        <v>76</v>
      </c>
      <c r="C906" s="24">
        <v>1279.44</v>
      </c>
    </row>
    <row r="907" spans="1:3" hidden="1" outlineLevel="1">
      <c r="A907" s="12"/>
      <c r="B907" s="12" t="s">
        <v>493</v>
      </c>
      <c r="C907" s="24">
        <v>1161.3399999999999</v>
      </c>
    </row>
    <row r="908" spans="1:3" hidden="1" outlineLevel="1">
      <c r="A908" s="12"/>
      <c r="B908" s="12" t="s">
        <v>85</v>
      </c>
      <c r="C908" s="24">
        <v>1151.43</v>
      </c>
    </row>
    <row r="909" spans="1:3" hidden="1" outlineLevel="1">
      <c r="A909" s="12"/>
      <c r="B909" s="12" t="s">
        <v>725</v>
      </c>
      <c r="C909" s="24">
        <v>1067.3399999999999</v>
      </c>
    </row>
    <row r="910" spans="1:3" hidden="1" outlineLevel="1">
      <c r="A910" s="12"/>
      <c r="B910" s="12" t="s">
        <v>726</v>
      </c>
      <c r="C910" s="24">
        <v>1065.3</v>
      </c>
    </row>
    <row r="911" spans="1:3" hidden="1" outlineLevel="1">
      <c r="A911" s="12"/>
      <c r="B911" s="12" t="s">
        <v>727</v>
      </c>
      <c r="C911" s="24">
        <v>900</v>
      </c>
    </row>
    <row r="912" spans="1:3" hidden="1" outlineLevel="1">
      <c r="A912" s="12"/>
      <c r="B912" s="12" t="s">
        <v>728</v>
      </c>
      <c r="C912" s="24">
        <v>823.79</v>
      </c>
    </row>
    <row r="913" spans="1:3" hidden="1" outlineLevel="1">
      <c r="A913" s="12"/>
      <c r="B913" s="12" t="s">
        <v>399</v>
      </c>
      <c r="C913" s="24">
        <v>797.05</v>
      </c>
    </row>
    <row r="914" spans="1:3" hidden="1" outlineLevel="1">
      <c r="A914" s="12"/>
      <c r="B914" s="12" t="s">
        <v>729</v>
      </c>
      <c r="C914" s="24">
        <v>567.91999999999996</v>
      </c>
    </row>
    <row r="915" spans="1:3" hidden="1" outlineLevel="1">
      <c r="A915" s="12"/>
      <c r="B915" s="12" t="s">
        <v>730</v>
      </c>
      <c r="C915" s="24">
        <v>561.59</v>
      </c>
    </row>
    <row r="916" spans="1:3" hidden="1" outlineLevel="1">
      <c r="A916" s="12"/>
      <c r="B916" s="12" t="s">
        <v>731</v>
      </c>
      <c r="C916" s="24">
        <v>555.32000000000005</v>
      </c>
    </row>
    <row r="917" spans="1:3" hidden="1" outlineLevel="1">
      <c r="A917" s="12"/>
      <c r="B917" s="12" t="s">
        <v>624</v>
      </c>
      <c r="C917" s="24">
        <v>530.24</v>
      </c>
    </row>
    <row r="918" spans="1:3" hidden="1" outlineLevel="1">
      <c r="A918" s="12"/>
      <c r="B918" s="12" t="s">
        <v>732</v>
      </c>
      <c r="C918" s="24">
        <v>507.33</v>
      </c>
    </row>
    <row r="919" spans="1:3" hidden="1" outlineLevel="1">
      <c r="A919" s="12"/>
      <c r="B919" s="12" t="s">
        <v>98</v>
      </c>
      <c r="C919" s="24">
        <v>282.57</v>
      </c>
    </row>
    <row r="920" spans="1:3" hidden="1" outlineLevel="1">
      <c r="A920" s="12"/>
      <c r="B920" s="12" t="s">
        <v>733</v>
      </c>
      <c r="C920" s="24">
        <v>267.74</v>
      </c>
    </row>
    <row r="921" spans="1:3" hidden="1" outlineLevel="1">
      <c r="A921" s="12"/>
      <c r="B921" s="12" t="s">
        <v>734</v>
      </c>
      <c r="C921" s="24">
        <v>192.49</v>
      </c>
    </row>
    <row r="922" spans="1:3" hidden="1" outlineLevel="1">
      <c r="A922" s="12"/>
      <c r="B922" s="12" t="s">
        <v>735</v>
      </c>
      <c r="C922" s="24">
        <v>179.6</v>
      </c>
    </row>
    <row r="923" spans="1:3" hidden="1" outlineLevel="1">
      <c r="A923" s="12"/>
      <c r="B923" s="12" t="s">
        <v>736</v>
      </c>
      <c r="C923" s="24">
        <v>148</v>
      </c>
    </row>
    <row r="924" spans="1:3" hidden="1" outlineLevel="1">
      <c r="A924" s="12"/>
      <c r="B924" s="12" t="s">
        <v>623</v>
      </c>
      <c r="C924" s="24">
        <v>37.4</v>
      </c>
    </row>
    <row r="925" spans="1:3" collapsed="1">
      <c r="A925" s="12"/>
      <c r="B925" s="25"/>
      <c r="C925" s="26">
        <f>SUM(C776:C795)</f>
        <v>28190707.630000003</v>
      </c>
    </row>
    <row r="926" spans="1:3">
      <c r="A926" s="12"/>
      <c r="B926" s="12"/>
      <c r="C926" s="24"/>
    </row>
    <row r="927" spans="1:3">
      <c r="A927" s="12"/>
      <c r="B927" s="12"/>
      <c r="C927" s="24"/>
    </row>
    <row r="928" spans="1:3">
      <c r="A928" s="47" t="s">
        <v>12</v>
      </c>
      <c r="B928" s="12" t="s">
        <v>737</v>
      </c>
      <c r="C928" s="24">
        <v>11083469</v>
      </c>
    </row>
    <row r="929" spans="1:3">
      <c r="A929" s="47"/>
      <c r="B929" s="12" t="s">
        <v>738</v>
      </c>
      <c r="C929" s="24">
        <v>5327447.46</v>
      </c>
    </row>
    <row r="930" spans="1:3">
      <c r="A930" s="47"/>
      <c r="B930" s="12" t="s">
        <v>739</v>
      </c>
      <c r="C930" s="24">
        <v>4892777.51</v>
      </c>
    </row>
    <row r="931" spans="1:3">
      <c r="A931" s="47"/>
      <c r="B931" s="12" t="s">
        <v>740</v>
      </c>
      <c r="C931" s="24">
        <v>2465804.54</v>
      </c>
    </row>
    <row r="932" spans="1:3">
      <c r="A932" s="47"/>
      <c r="B932" s="12" t="s">
        <v>741</v>
      </c>
      <c r="C932" s="24">
        <v>1767512.25</v>
      </c>
    </row>
    <row r="933" spans="1:3">
      <c r="A933" s="47"/>
      <c r="B933" s="12" t="s">
        <v>742</v>
      </c>
      <c r="C933" s="24">
        <v>1732189.37</v>
      </c>
    </row>
    <row r="934" spans="1:3">
      <c r="A934" s="47"/>
      <c r="B934" s="12" t="s">
        <v>743</v>
      </c>
      <c r="C934" s="24">
        <v>832136.95</v>
      </c>
    </row>
    <row r="935" spans="1:3">
      <c r="A935" s="47"/>
      <c r="B935" s="12" t="s">
        <v>744</v>
      </c>
      <c r="C935" s="24">
        <v>771648.34</v>
      </c>
    </row>
    <row r="936" spans="1:3">
      <c r="A936" s="47"/>
      <c r="B936" s="12" t="s">
        <v>417</v>
      </c>
      <c r="C936" s="24">
        <v>449491.34</v>
      </c>
    </row>
    <row r="937" spans="1:3">
      <c r="A937" s="47"/>
      <c r="B937" s="12" t="s">
        <v>745</v>
      </c>
      <c r="C937" s="24">
        <v>316104.5</v>
      </c>
    </row>
    <row r="938" spans="1:3">
      <c r="A938" s="47"/>
      <c r="B938" s="12" t="s">
        <v>746</v>
      </c>
      <c r="C938" s="24">
        <v>280817.05</v>
      </c>
    </row>
    <row r="939" spans="1:3">
      <c r="A939" s="47"/>
      <c r="B939" s="12" t="s">
        <v>647</v>
      </c>
      <c r="C939" s="24">
        <v>191685.39</v>
      </c>
    </row>
    <row r="940" spans="1:3">
      <c r="A940" s="47"/>
      <c r="B940" s="12" t="s">
        <v>747</v>
      </c>
      <c r="C940" s="24">
        <v>127815.18</v>
      </c>
    </row>
    <row r="941" spans="1:3">
      <c r="A941" s="47"/>
      <c r="B941" s="12" t="s">
        <v>748</v>
      </c>
      <c r="C941" s="24">
        <v>125195</v>
      </c>
    </row>
    <row r="942" spans="1:3">
      <c r="A942" s="47"/>
      <c r="B942" s="12" t="s">
        <v>749</v>
      </c>
      <c r="C942" s="24">
        <v>113911.79</v>
      </c>
    </row>
    <row r="943" spans="1:3">
      <c r="A943" s="47"/>
      <c r="B943" s="12" t="s">
        <v>750</v>
      </c>
      <c r="C943" s="24">
        <v>101878.14</v>
      </c>
    </row>
    <row r="944" spans="1:3">
      <c r="A944" s="47"/>
      <c r="B944" s="12" t="s">
        <v>751</v>
      </c>
      <c r="C944" s="24">
        <v>90000</v>
      </c>
    </row>
    <row r="945" spans="1:3">
      <c r="A945" s="47"/>
      <c r="B945" s="12" t="s">
        <v>70</v>
      </c>
      <c r="C945" s="24">
        <v>85059.3</v>
      </c>
    </row>
    <row r="946" spans="1:3">
      <c r="A946" s="47"/>
      <c r="B946" s="12" t="s">
        <v>752</v>
      </c>
      <c r="C946" s="24">
        <v>79380</v>
      </c>
    </row>
    <row r="947" spans="1:3">
      <c r="A947" s="47"/>
      <c r="B947" s="12" t="s">
        <v>753</v>
      </c>
      <c r="C947" s="24">
        <v>57121.78</v>
      </c>
    </row>
    <row r="948" spans="1:3" hidden="1" outlineLevel="1">
      <c r="A948" s="12"/>
      <c r="B948" s="12" t="s">
        <v>754</v>
      </c>
      <c r="C948" s="24">
        <v>53484.62</v>
      </c>
    </row>
    <row r="949" spans="1:3" hidden="1" outlineLevel="1">
      <c r="A949" s="12"/>
      <c r="B949" s="12" t="s">
        <v>755</v>
      </c>
      <c r="C949" s="24">
        <v>48436.1</v>
      </c>
    </row>
    <row r="950" spans="1:3" hidden="1" outlineLevel="1">
      <c r="A950" s="12"/>
      <c r="B950" s="12" t="s">
        <v>473</v>
      </c>
      <c r="C950" s="24">
        <v>42209.68</v>
      </c>
    </row>
    <row r="951" spans="1:3" hidden="1" outlineLevel="1">
      <c r="A951" s="12"/>
      <c r="B951" s="12" t="s">
        <v>756</v>
      </c>
      <c r="C951" s="24">
        <v>41192.81</v>
      </c>
    </row>
    <row r="952" spans="1:3" hidden="1" outlineLevel="1">
      <c r="A952" s="12"/>
      <c r="B952" s="12" t="s">
        <v>570</v>
      </c>
      <c r="C952" s="24">
        <v>38034.339999999997</v>
      </c>
    </row>
    <row r="953" spans="1:3" hidden="1" outlineLevel="1">
      <c r="A953" s="12"/>
      <c r="B953" s="12" t="s">
        <v>571</v>
      </c>
      <c r="C953" s="24">
        <v>37875.35</v>
      </c>
    </row>
    <row r="954" spans="1:3" hidden="1" outlineLevel="1">
      <c r="A954" s="12"/>
      <c r="B954" s="12" t="s">
        <v>757</v>
      </c>
      <c r="C954" s="24">
        <v>37100</v>
      </c>
    </row>
    <row r="955" spans="1:3" hidden="1" outlineLevel="1">
      <c r="A955" s="12"/>
      <c r="B955" s="12" t="s">
        <v>306</v>
      </c>
      <c r="C955" s="24">
        <v>32468.75</v>
      </c>
    </row>
    <row r="956" spans="1:3" hidden="1" outlineLevel="1">
      <c r="A956" s="12"/>
      <c r="B956" s="12" t="s">
        <v>67</v>
      </c>
      <c r="C956" s="24">
        <v>27750.02</v>
      </c>
    </row>
    <row r="957" spans="1:3" hidden="1" outlineLevel="1">
      <c r="A957" s="12"/>
      <c r="B957" s="12" t="s">
        <v>758</v>
      </c>
      <c r="C957" s="24">
        <v>25320.55</v>
      </c>
    </row>
    <row r="958" spans="1:3" hidden="1" outlineLevel="1">
      <c r="A958" s="12"/>
      <c r="B958" s="12" t="s">
        <v>204</v>
      </c>
      <c r="C958" s="24">
        <v>18608.72</v>
      </c>
    </row>
    <row r="959" spans="1:3" hidden="1" outlineLevel="1">
      <c r="A959" s="12"/>
      <c r="B959" s="12" t="s">
        <v>304</v>
      </c>
      <c r="C959" s="24">
        <v>16972.22</v>
      </c>
    </row>
    <row r="960" spans="1:3" hidden="1" outlineLevel="1">
      <c r="A960" s="12"/>
      <c r="B960" s="12" t="s">
        <v>759</v>
      </c>
      <c r="C960" s="24">
        <v>15600</v>
      </c>
    </row>
    <row r="961" spans="1:3" hidden="1" outlineLevel="1">
      <c r="A961" s="12"/>
      <c r="B961" s="12" t="s">
        <v>57</v>
      </c>
      <c r="C961" s="24">
        <v>13161.149999999998</v>
      </c>
    </row>
    <row r="962" spans="1:3" hidden="1" outlineLevel="1">
      <c r="A962" s="12"/>
      <c r="B962" s="12" t="s">
        <v>760</v>
      </c>
      <c r="C962" s="24">
        <v>12867.98</v>
      </c>
    </row>
    <row r="963" spans="1:3" hidden="1" outlineLevel="1">
      <c r="A963" s="12"/>
      <c r="B963" s="12" t="s">
        <v>72</v>
      </c>
      <c r="C963" s="24">
        <v>12404.07</v>
      </c>
    </row>
    <row r="964" spans="1:3" hidden="1" outlineLevel="1">
      <c r="A964" s="12"/>
      <c r="B964" s="12" t="s">
        <v>318</v>
      </c>
      <c r="C964" s="24">
        <v>10270</v>
      </c>
    </row>
    <row r="965" spans="1:3" hidden="1" outlineLevel="1">
      <c r="A965" s="12"/>
      <c r="B965" s="12" t="s">
        <v>574</v>
      </c>
      <c r="C965" s="24">
        <v>7212.46</v>
      </c>
    </row>
    <row r="966" spans="1:3" hidden="1" outlineLevel="1">
      <c r="A966" s="12"/>
      <c r="B966" s="12" t="s">
        <v>311</v>
      </c>
      <c r="C966" s="24">
        <v>6464.4</v>
      </c>
    </row>
    <row r="967" spans="1:3" hidden="1" outlineLevel="1">
      <c r="A967" s="12"/>
      <c r="B967" s="12" t="s">
        <v>761</v>
      </c>
      <c r="C967" s="24">
        <v>5819.44</v>
      </c>
    </row>
    <row r="968" spans="1:3" hidden="1" outlineLevel="1">
      <c r="A968" s="12"/>
      <c r="B968" s="12" t="s">
        <v>689</v>
      </c>
      <c r="C968" s="24">
        <v>5214.92</v>
      </c>
    </row>
    <row r="969" spans="1:3" hidden="1" outlineLevel="1">
      <c r="A969" s="12"/>
      <c r="B969" s="12" t="s">
        <v>395</v>
      </c>
      <c r="C969" s="24">
        <v>5042.01</v>
      </c>
    </row>
    <row r="970" spans="1:3" hidden="1" outlineLevel="1">
      <c r="A970" s="12"/>
      <c r="B970" s="12" t="s">
        <v>85</v>
      </c>
      <c r="C970" s="24">
        <v>3454.29</v>
      </c>
    </row>
    <row r="971" spans="1:3" hidden="1" outlineLevel="1">
      <c r="A971" s="12"/>
      <c r="B971" s="12" t="s">
        <v>619</v>
      </c>
      <c r="C971" s="24">
        <v>2749.8</v>
      </c>
    </row>
    <row r="972" spans="1:3" hidden="1" outlineLevel="1">
      <c r="A972" s="12"/>
      <c r="B972" s="12" t="s">
        <v>319</v>
      </c>
      <c r="C972" s="24">
        <v>1707.22</v>
      </c>
    </row>
    <row r="973" spans="1:3" hidden="1" outlineLevel="1">
      <c r="A973" s="12"/>
      <c r="B973" s="12" t="s">
        <v>762</v>
      </c>
      <c r="C973" s="24">
        <v>1600</v>
      </c>
    </row>
    <row r="974" spans="1:3" hidden="1" outlineLevel="1">
      <c r="A974" s="12"/>
      <c r="B974" s="12" t="s">
        <v>763</v>
      </c>
      <c r="C974" s="24">
        <v>1500</v>
      </c>
    </row>
    <row r="975" spans="1:3" hidden="1" outlineLevel="1">
      <c r="A975" s="12"/>
      <c r="B975" s="12" t="s">
        <v>613</v>
      </c>
      <c r="C975" s="24">
        <v>1385.04</v>
      </c>
    </row>
    <row r="976" spans="1:3" hidden="1" outlineLevel="1">
      <c r="A976" s="12"/>
      <c r="B976" s="12" t="s">
        <v>96</v>
      </c>
      <c r="C976" s="24">
        <v>1096.5</v>
      </c>
    </row>
    <row r="977" spans="1:3" hidden="1" outlineLevel="1">
      <c r="A977" s="12"/>
      <c r="B977" s="12" t="s">
        <v>614</v>
      </c>
      <c r="C977" s="24">
        <v>478.94</v>
      </c>
    </row>
    <row r="978" spans="1:3" hidden="1" outlineLevel="1">
      <c r="A978" s="12"/>
      <c r="B978" s="12" t="s">
        <v>76</v>
      </c>
      <c r="C978" s="24">
        <v>319.86</v>
      </c>
    </row>
    <row r="979" spans="1:3" collapsed="1">
      <c r="A979" s="12"/>
      <c r="B979" s="25"/>
      <c r="C979" s="26">
        <f>SUM(C928:C947)</f>
        <v>30891444.890000001</v>
      </c>
    </row>
    <row r="980" spans="1:3">
      <c r="A980" s="12"/>
      <c r="B980" s="12"/>
      <c r="C980" s="24"/>
    </row>
    <row r="981" spans="1:3">
      <c r="A981" s="12"/>
      <c r="B981" s="12"/>
      <c r="C981" s="24"/>
    </row>
    <row r="982" spans="1:3">
      <c r="A982" s="12"/>
      <c r="B982" s="12"/>
      <c r="C982" s="24"/>
    </row>
    <row r="983" spans="1:3">
      <c r="A983" s="47" t="s">
        <v>14</v>
      </c>
      <c r="B983" s="12" t="s">
        <v>764</v>
      </c>
      <c r="C983" s="24">
        <v>11640000</v>
      </c>
    </row>
    <row r="984" spans="1:3">
      <c r="A984" s="47"/>
      <c r="B984" s="12" t="s">
        <v>309</v>
      </c>
      <c r="C984" s="24">
        <v>5899.77</v>
      </c>
    </row>
    <row r="985" spans="1:3">
      <c r="A985" s="47"/>
      <c r="B985" s="12" t="s">
        <v>406</v>
      </c>
      <c r="C985" s="24">
        <v>443.87</v>
      </c>
    </row>
    <row r="986" spans="1:3">
      <c r="A986" s="47"/>
      <c r="B986" s="12" t="s">
        <v>625</v>
      </c>
      <c r="C986" s="24">
        <v>2230162</v>
      </c>
    </row>
    <row r="987" spans="1:3">
      <c r="A987" s="47"/>
      <c r="B987" s="12" t="s">
        <v>189</v>
      </c>
      <c r="C987" s="24">
        <v>6098.87</v>
      </c>
    </row>
    <row r="988" spans="1:3">
      <c r="A988" s="47"/>
      <c r="B988" s="12" t="s">
        <v>636</v>
      </c>
      <c r="C988" s="24">
        <v>100738.14</v>
      </c>
    </row>
    <row r="989" spans="1:3">
      <c r="A989" s="47"/>
      <c r="B989" s="12" t="s">
        <v>642</v>
      </c>
      <c r="C989" s="24">
        <v>77068.19</v>
      </c>
    </row>
    <row r="990" spans="1:3">
      <c r="A990" s="47"/>
      <c r="B990" s="12" t="s">
        <v>689</v>
      </c>
      <c r="C990" s="24">
        <v>5214.92</v>
      </c>
    </row>
    <row r="991" spans="1:3">
      <c r="A991" s="47"/>
      <c r="B991" s="12" t="s">
        <v>76</v>
      </c>
      <c r="C991" s="24">
        <v>319.86</v>
      </c>
    </row>
    <row r="992" spans="1:3">
      <c r="A992" s="47"/>
      <c r="B992" s="12" t="s">
        <v>765</v>
      </c>
      <c r="C992" s="24">
        <v>900</v>
      </c>
    </row>
    <row r="993" spans="1:3">
      <c r="A993" s="47"/>
      <c r="B993" s="12" t="s">
        <v>766</v>
      </c>
      <c r="C993" s="24">
        <v>85614.67</v>
      </c>
    </row>
    <row r="994" spans="1:3">
      <c r="A994" s="12"/>
      <c r="B994" s="25"/>
      <c r="C994" s="26">
        <f>SUM(C983:C993)</f>
        <v>14152460.289999997</v>
      </c>
    </row>
    <row r="995" spans="1:3">
      <c r="A995" s="12"/>
      <c r="B995" s="12"/>
      <c r="C995" s="24"/>
    </row>
    <row r="996" spans="1:3">
      <c r="A996" s="12"/>
      <c r="B996" s="12"/>
      <c r="C996" s="24"/>
    </row>
    <row r="997" spans="1:3">
      <c r="A997" s="47" t="s">
        <v>13</v>
      </c>
      <c r="B997" s="12" t="s">
        <v>767</v>
      </c>
      <c r="C997" s="24">
        <v>1632380.95</v>
      </c>
    </row>
    <row r="998" spans="1:3">
      <c r="A998" s="47"/>
      <c r="B998" s="12" t="s">
        <v>244</v>
      </c>
      <c r="C998" s="24">
        <v>982728.38</v>
      </c>
    </row>
    <row r="999" spans="1:3">
      <c r="A999" s="47"/>
      <c r="B999" s="12" t="s">
        <v>358</v>
      </c>
      <c r="C999" s="24">
        <v>776778.5</v>
      </c>
    </row>
    <row r="1000" spans="1:3">
      <c r="A1000" s="47"/>
      <c r="B1000" s="12" t="s">
        <v>768</v>
      </c>
      <c r="C1000" s="24">
        <v>716874</v>
      </c>
    </row>
    <row r="1001" spans="1:3">
      <c r="A1001" s="47"/>
      <c r="B1001" s="12" t="s">
        <v>769</v>
      </c>
      <c r="C1001" s="24">
        <v>672563.62</v>
      </c>
    </row>
    <row r="1002" spans="1:3">
      <c r="A1002" s="47"/>
      <c r="B1002" s="12" t="s">
        <v>770</v>
      </c>
      <c r="C1002" s="24">
        <v>660000</v>
      </c>
    </row>
    <row r="1003" spans="1:3">
      <c r="A1003" s="47"/>
      <c r="B1003" s="12" t="s">
        <v>771</v>
      </c>
      <c r="C1003" s="24">
        <v>396666.67</v>
      </c>
    </row>
    <row r="1004" spans="1:3">
      <c r="A1004" s="47"/>
      <c r="B1004" s="12" t="s">
        <v>126</v>
      </c>
      <c r="C1004" s="24">
        <v>383199.37</v>
      </c>
    </row>
    <row r="1005" spans="1:3">
      <c r="A1005" s="47"/>
      <c r="B1005" s="12" t="s">
        <v>138</v>
      </c>
      <c r="C1005" s="24">
        <v>346013.04</v>
      </c>
    </row>
    <row r="1006" spans="1:3">
      <c r="A1006" s="47"/>
      <c r="B1006" s="12" t="s">
        <v>348</v>
      </c>
      <c r="C1006" s="24">
        <v>331540.92</v>
      </c>
    </row>
    <row r="1007" spans="1:3">
      <c r="A1007" s="47"/>
      <c r="B1007" s="12" t="s">
        <v>121</v>
      </c>
      <c r="C1007" s="24">
        <v>264576.53000000003</v>
      </c>
    </row>
    <row r="1008" spans="1:3">
      <c r="A1008" s="47"/>
      <c r="B1008" s="12" t="s">
        <v>772</v>
      </c>
      <c r="C1008" s="24">
        <v>223433.21</v>
      </c>
    </row>
    <row r="1009" spans="1:3">
      <c r="A1009" s="47"/>
      <c r="B1009" s="12" t="s">
        <v>773</v>
      </c>
      <c r="C1009" s="24">
        <v>220286</v>
      </c>
    </row>
    <row r="1010" spans="1:3">
      <c r="A1010" s="47"/>
      <c r="B1010" s="12" t="s">
        <v>774</v>
      </c>
      <c r="C1010" s="24">
        <v>210928.95</v>
      </c>
    </row>
    <row r="1011" spans="1:3">
      <c r="A1011" s="47"/>
      <c r="B1011" s="12" t="s">
        <v>40</v>
      </c>
      <c r="C1011" s="24">
        <v>192234.09</v>
      </c>
    </row>
    <row r="1012" spans="1:3">
      <c r="A1012" s="47"/>
      <c r="B1012" s="12" t="s">
        <v>775</v>
      </c>
      <c r="C1012" s="24">
        <v>156300.28</v>
      </c>
    </row>
    <row r="1013" spans="1:3">
      <c r="A1013" s="47"/>
      <c r="B1013" s="12" t="s">
        <v>776</v>
      </c>
      <c r="C1013" s="24">
        <v>155237.85999999999</v>
      </c>
    </row>
    <row r="1014" spans="1:3">
      <c r="A1014" s="47"/>
      <c r="B1014" s="12" t="s">
        <v>589</v>
      </c>
      <c r="C1014" s="24">
        <v>149702.66999999998</v>
      </c>
    </row>
    <row r="1015" spans="1:3" ht="14.45" hidden="1" customHeight="1">
      <c r="A1015" s="47"/>
      <c r="B1015" s="12" t="s">
        <v>777</v>
      </c>
      <c r="C1015" s="24">
        <v>149202.57</v>
      </c>
    </row>
    <row r="1016" spans="1:3" ht="14.45" hidden="1" customHeight="1">
      <c r="A1016" s="47"/>
      <c r="B1016" s="12" t="s">
        <v>459</v>
      </c>
      <c r="C1016" s="24">
        <v>124877.55</v>
      </c>
    </row>
    <row r="1017" spans="1:3" ht="14.45" hidden="1" customHeight="1">
      <c r="A1017" s="47"/>
      <c r="B1017" s="12" t="s">
        <v>778</v>
      </c>
      <c r="C1017" s="24">
        <v>114650.96</v>
      </c>
    </row>
    <row r="1018" spans="1:3" ht="14.45" hidden="1" customHeight="1">
      <c r="A1018" s="47"/>
      <c r="B1018" s="12" t="s">
        <v>779</v>
      </c>
      <c r="C1018" s="24">
        <v>104596.31</v>
      </c>
    </row>
    <row r="1019" spans="1:3" ht="14.45" hidden="1" customHeight="1">
      <c r="A1019" s="47"/>
      <c r="B1019" s="12" t="s">
        <v>780</v>
      </c>
      <c r="C1019" s="24">
        <v>91250</v>
      </c>
    </row>
    <row r="1020" spans="1:3" ht="14.45" hidden="1" customHeight="1">
      <c r="A1020" s="47"/>
      <c r="B1020" s="12" t="s">
        <v>446</v>
      </c>
      <c r="C1020" s="24">
        <v>90000</v>
      </c>
    </row>
    <row r="1021" spans="1:3" ht="14.45" hidden="1" customHeight="1">
      <c r="A1021" s="47"/>
      <c r="B1021" s="12" t="s">
        <v>568</v>
      </c>
      <c r="C1021" s="24">
        <v>83379.600000000006</v>
      </c>
    </row>
    <row r="1022" spans="1:3" ht="14.45" hidden="1" customHeight="1">
      <c r="A1022" s="47"/>
      <c r="B1022" s="12" t="s">
        <v>781</v>
      </c>
      <c r="C1022" s="24">
        <v>82800</v>
      </c>
    </row>
    <row r="1023" spans="1:3" ht="14.45" hidden="1" customHeight="1">
      <c r="A1023" s="47"/>
      <c r="B1023" s="12" t="s">
        <v>569</v>
      </c>
      <c r="C1023" s="24">
        <v>79606.039999999994</v>
      </c>
    </row>
    <row r="1024" spans="1:3" collapsed="1">
      <c r="A1024" s="47"/>
      <c r="B1024" s="12" t="s">
        <v>571</v>
      </c>
      <c r="C1024" s="24">
        <v>75614.7</v>
      </c>
    </row>
    <row r="1025" spans="1:3" ht="14.45" hidden="1" customHeight="1">
      <c r="A1025" s="47"/>
      <c r="B1025" s="12" t="s">
        <v>299</v>
      </c>
      <c r="C1025" s="24">
        <v>74587.319999999992</v>
      </c>
    </row>
    <row r="1026" spans="1:3" ht="14.45" hidden="1" customHeight="1">
      <c r="A1026" s="47"/>
      <c r="B1026" s="12" t="s">
        <v>67</v>
      </c>
      <c r="C1026" s="24">
        <v>66600.2</v>
      </c>
    </row>
    <row r="1027" spans="1:3" ht="14.45" hidden="1" customHeight="1">
      <c r="A1027" s="47"/>
      <c r="B1027" s="12" t="s">
        <v>561</v>
      </c>
      <c r="C1027" s="24">
        <v>65615.14</v>
      </c>
    </row>
    <row r="1028" spans="1:3" ht="14.45" hidden="1" customHeight="1">
      <c r="A1028" s="47"/>
      <c r="B1028" s="12" t="s">
        <v>63</v>
      </c>
      <c r="C1028" s="24">
        <v>64047.67</v>
      </c>
    </row>
    <row r="1029" spans="1:3" ht="14.45" hidden="1" customHeight="1">
      <c r="A1029" s="47"/>
      <c r="B1029" s="12" t="s">
        <v>544</v>
      </c>
      <c r="C1029" s="24">
        <v>62333.520000000004</v>
      </c>
    </row>
    <row r="1030" spans="1:3" ht="14.45" hidden="1" customHeight="1">
      <c r="A1030" s="47"/>
      <c r="B1030" s="12" t="s">
        <v>782</v>
      </c>
      <c r="C1030" s="24">
        <v>62070.659999999996</v>
      </c>
    </row>
    <row r="1031" spans="1:3" ht="14.45" hidden="1" customHeight="1">
      <c r="A1031" s="47"/>
      <c r="B1031" s="12" t="s">
        <v>783</v>
      </c>
      <c r="C1031" s="24">
        <v>59486.21</v>
      </c>
    </row>
    <row r="1032" spans="1:3" ht="14.45" hidden="1" customHeight="1">
      <c r="A1032" s="47"/>
      <c r="B1032" s="12" t="s">
        <v>784</v>
      </c>
      <c r="C1032" s="24">
        <v>57494</v>
      </c>
    </row>
    <row r="1033" spans="1:3" ht="14.45" hidden="1" customHeight="1">
      <c r="A1033" s="47"/>
      <c r="B1033" s="12" t="s">
        <v>70</v>
      </c>
      <c r="C1033" s="24">
        <v>56706.2</v>
      </c>
    </row>
    <row r="1034" spans="1:3" ht="14.45" hidden="1" customHeight="1">
      <c r="A1034" s="47"/>
      <c r="B1034" s="12" t="s">
        <v>153</v>
      </c>
      <c r="C1034" s="24">
        <v>55335.68</v>
      </c>
    </row>
    <row r="1035" spans="1:3" ht="14.45" hidden="1" customHeight="1">
      <c r="A1035" s="47"/>
      <c r="B1035" s="12" t="s">
        <v>154</v>
      </c>
      <c r="C1035" s="24">
        <v>53403.839999999997</v>
      </c>
    </row>
    <row r="1036" spans="1:3" ht="14.45" hidden="1" customHeight="1">
      <c r="A1036" s="47"/>
      <c r="B1036" s="12" t="s">
        <v>785</v>
      </c>
      <c r="C1036" s="24">
        <v>48225.69</v>
      </c>
    </row>
    <row r="1037" spans="1:3" ht="14.45" hidden="1" customHeight="1">
      <c r="A1037" s="47"/>
      <c r="B1037" s="12" t="s">
        <v>150</v>
      </c>
      <c r="C1037" s="24">
        <v>46463.33</v>
      </c>
    </row>
    <row r="1038" spans="1:3" ht="14.45" hidden="1" customHeight="1">
      <c r="A1038" s="47"/>
      <c r="B1038" s="12" t="s">
        <v>582</v>
      </c>
      <c r="C1038" s="24">
        <v>44832.880000000005</v>
      </c>
    </row>
    <row r="1039" spans="1:3" ht="14.45" hidden="1" customHeight="1">
      <c r="A1039" s="47"/>
      <c r="B1039" s="12" t="s">
        <v>786</v>
      </c>
      <c r="C1039" s="24">
        <v>36800</v>
      </c>
    </row>
    <row r="1040" spans="1:3" ht="14.45" hidden="1" customHeight="1">
      <c r="A1040" s="47"/>
      <c r="B1040" s="12" t="s">
        <v>120</v>
      </c>
      <c r="C1040" s="24">
        <v>34100.36</v>
      </c>
    </row>
    <row r="1041" spans="1:3" ht="14.45" hidden="1" customHeight="1">
      <c r="A1041" s="47"/>
      <c r="B1041" s="12" t="s">
        <v>504</v>
      </c>
      <c r="C1041" s="24">
        <v>32832.639999999999</v>
      </c>
    </row>
    <row r="1042" spans="1:3" ht="14.45" hidden="1" customHeight="1">
      <c r="A1042" s="47"/>
      <c r="B1042" s="12" t="s">
        <v>128</v>
      </c>
      <c r="C1042" s="24">
        <v>27510.44</v>
      </c>
    </row>
    <row r="1043" spans="1:3" ht="14.45" hidden="1" customHeight="1">
      <c r="A1043" s="47"/>
      <c r="B1043" s="12" t="s">
        <v>787</v>
      </c>
      <c r="C1043" s="24">
        <v>26049</v>
      </c>
    </row>
    <row r="1044" spans="1:3" ht="14.45" hidden="1" customHeight="1">
      <c r="A1044" s="47"/>
      <c r="B1044" s="12" t="s">
        <v>788</v>
      </c>
      <c r="C1044" s="24">
        <v>25237.25</v>
      </c>
    </row>
    <row r="1045" spans="1:3" ht="14.45" hidden="1" customHeight="1">
      <c r="A1045" s="47"/>
      <c r="B1045" s="12" t="s">
        <v>474</v>
      </c>
      <c r="C1045" s="24">
        <v>25192.23</v>
      </c>
    </row>
    <row r="1046" spans="1:3" ht="14.45" hidden="1" customHeight="1">
      <c r="A1046" s="47"/>
      <c r="B1046" s="12" t="s">
        <v>789</v>
      </c>
      <c r="C1046" s="24">
        <v>25000</v>
      </c>
    </row>
    <row r="1047" spans="1:3" ht="14.45" hidden="1" customHeight="1">
      <c r="A1047" s="47"/>
      <c r="B1047" s="12" t="s">
        <v>790</v>
      </c>
      <c r="C1047" s="24">
        <v>20546.349999999999</v>
      </c>
    </row>
    <row r="1048" spans="1:3" ht="14.45" hidden="1" customHeight="1">
      <c r="A1048" s="47"/>
      <c r="B1048" s="12" t="s">
        <v>791</v>
      </c>
      <c r="C1048" s="24">
        <v>19752.38</v>
      </c>
    </row>
    <row r="1049" spans="1:3" ht="14.45" hidden="1" customHeight="1">
      <c r="A1049" s="47"/>
      <c r="B1049" s="12" t="s">
        <v>177</v>
      </c>
      <c r="C1049" s="24">
        <v>19132.419999999998</v>
      </c>
    </row>
    <row r="1050" spans="1:3" ht="14.45" hidden="1" customHeight="1">
      <c r="A1050" s="47"/>
      <c r="B1050" s="12" t="s">
        <v>792</v>
      </c>
      <c r="C1050" s="24">
        <v>18801.55</v>
      </c>
    </row>
    <row r="1051" spans="1:3" ht="14.45" hidden="1" customHeight="1">
      <c r="A1051" s="47"/>
      <c r="B1051" s="12" t="s">
        <v>793</v>
      </c>
      <c r="C1051" s="24">
        <v>18417.89</v>
      </c>
    </row>
    <row r="1052" spans="1:3" ht="14.45" hidden="1" customHeight="1">
      <c r="A1052" s="47"/>
      <c r="B1052" s="12" t="s">
        <v>794</v>
      </c>
      <c r="C1052" s="24">
        <v>17743.61</v>
      </c>
    </row>
    <row r="1053" spans="1:3" collapsed="1">
      <c r="A1053" s="47"/>
      <c r="B1053" s="12" t="s">
        <v>795</v>
      </c>
      <c r="C1053" s="24">
        <v>16976.84</v>
      </c>
    </row>
    <row r="1054" spans="1:3" hidden="1" outlineLevel="1">
      <c r="A1054" s="12"/>
      <c r="B1054" s="12" t="s">
        <v>796</v>
      </c>
      <c r="C1054" s="24">
        <v>16248.05</v>
      </c>
    </row>
    <row r="1055" spans="1:3" hidden="1" outlineLevel="1">
      <c r="A1055" s="12"/>
      <c r="B1055" s="12" t="s">
        <v>473</v>
      </c>
      <c r="C1055" s="24">
        <v>13507.1</v>
      </c>
    </row>
    <row r="1056" spans="1:3" hidden="1" outlineLevel="1">
      <c r="A1056" s="12"/>
      <c r="B1056" s="12" t="s">
        <v>72</v>
      </c>
      <c r="C1056" s="24">
        <v>11337.14</v>
      </c>
    </row>
    <row r="1057" spans="1:3" hidden="1" outlineLevel="1">
      <c r="A1057" s="12"/>
      <c r="B1057" s="12" t="s">
        <v>797</v>
      </c>
      <c r="C1057" s="24">
        <v>11071.9</v>
      </c>
    </row>
    <row r="1058" spans="1:3" hidden="1" outlineLevel="1">
      <c r="A1058" s="12"/>
      <c r="B1058" s="12" t="s">
        <v>798</v>
      </c>
      <c r="C1058" s="24">
        <v>10708.26</v>
      </c>
    </row>
    <row r="1059" spans="1:3" hidden="1" outlineLevel="1">
      <c r="A1059" s="12"/>
      <c r="B1059" s="12" t="s">
        <v>799</v>
      </c>
      <c r="C1059" s="24">
        <v>10192.86</v>
      </c>
    </row>
    <row r="1060" spans="1:3" hidden="1" outlineLevel="1">
      <c r="A1060" s="12"/>
      <c r="B1060" s="12" t="s">
        <v>800</v>
      </c>
      <c r="C1060" s="24">
        <v>9808.27</v>
      </c>
    </row>
    <row r="1061" spans="1:3" hidden="1" outlineLevel="1">
      <c r="A1061" s="12"/>
      <c r="B1061" s="12" t="s">
        <v>801</v>
      </c>
      <c r="C1061" s="24">
        <v>9422.06</v>
      </c>
    </row>
    <row r="1062" spans="1:3" hidden="1" outlineLevel="1">
      <c r="A1062" s="12"/>
      <c r="B1062" s="12" t="s">
        <v>57</v>
      </c>
      <c r="C1062" s="24">
        <v>8942.2799999999988</v>
      </c>
    </row>
    <row r="1063" spans="1:3" hidden="1" outlineLevel="1">
      <c r="A1063" s="12"/>
      <c r="B1063" s="12" t="s">
        <v>95</v>
      </c>
      <c r="C1063" s="24">
        <v>8613.4499999999971</v>
      </c>
    </row>
    <row r="1064" spans="1:3" hidden="1" outlineLevel="1">
      <c r="A1064" s="12"/>
      <c r="B1064" s="12" t="s">
        <v>802</v>
      </c>
      <c r="C1064" s="24">
        <v>7878.78</v>
      </c>
    </row>
    <row r="1065" spans="1:3" hidden="1" outlineLevel="1">
      <c r="A1065" s="12"/>
      <c r="B1065" s="12" t="s">
        <v>803</v>
      </c>
      <c r="C1065" s="24">
        <v>6966.17</v>
      </c>
    </row>
    <row r="1066" spans="1:3" hidden="1" outlineLevel="1">
      <c r="A1066" s="12"/>
      <c r="B1066" s="12" t="s">
        <v>85</v>
      </c>
      <c r="C1066" s="24">
        <v>6116.3600000000006</v>
      </c>
    </row>
    <row r="1067" spans="1:3" hidden="1" outlineLevel="1">
      <c r="A1067" s="12"/>
      <c r="B1067" s="12" t="s">
        <v>804</v>
      </c>
      <c r="C1067" s="24">
        <v>5483.83</v>
      </c>
    </row>
    <row r="1068" spans="1:3" hidden="1" outlineLevel="1">
      <c r="A1068" s="12"/>
      <c r="B1068" s="12" t="s">
        <v>805</v>
      </c>
      <c r="C1068" s="24">
        <v>5324.44</v>
      </c>
    </row>
    <row r="1069" spans="1:3" hidden="1" outlineLevel="1">
      <c r="A1069" s="12"/>
      <c r="B1069" s="12" t="s">
        <v>319</v>
      </c>
      <c r="C1069" s="24">
        <v>5121.66</v>
      </c>
    </row>
    <row r="1070" spans="1:3" hidden="1" outlineLevel="1">
      <c r="A1070" s="12"/>
      <c r="B1070" s="12" t="s">
        <v>66</v>
      </c>
      <c r="C1070" s="24">
        <v>5051.33</v>
      </c>
    </row>
    <row r="1071" spans="1:3" hidden="1" outlineLevel="1">
      <c r="A1071" s="12"/>
      <c r="B1071" s="12" t="s">
        <v>395</v>
      </c>
      <c r="C1071" s="24">
        <v>5042</v>
      </c>
    </row>
    <row r="1072" spans="1:3" hidden="1" outlineLevel="1">
      <c r="A1072" s="12"/>
      <c r="B1072" s="12" t="s">
        <v>806</v>
      </c>
      <c r="C1072" s="24">
        <v>4912.26</v>
      </c>
    </row>
    <row r="1073" spans="1:3" hidden="1" outlineLevel="1">
      <c r="A1073" s="12"/>
      <c r="B1073" s="12" t="s">
        <v>807</v>
      </c>
      <c r="C1073" s="24">
        <v>4796.71</v>
      </c>
    </row>
    <row r="1074" spans="1:3" hidden="1" outlineLevel="1">
      <c r="A1074" s="12"/>
      <c r="B1074" s="12" t="s">
        <v>808</v>
      </c>
      <c r="C1074" s="24">
        <v>4744.47</v>
      </c>
    </row>
    <row r="1075" spans="1:3" hidden="1" outlineLevel="1">
      <c r="A1075" s="12"/>
      <c r="B1075" s="12" t="s">
        <v>303</v>
      </c>
      <c r="C1075" s="24">
        <v>4582.41</v>
      </c>
    </row>
    <row r="1076" spans="1:3" hidden="1" outlineLevel="1">
      <c r="A1076" s="12"/>
      <c r="B1076" s="12" t="s">
        <v>809</v>
      </c>
      <c r="C1076" s="24">
        <v>4385.34</v>
      </c>
    </row>
    <row r="1077" spans="1:3" hidden="1" outlineLevel="1">
      <c r="A1077" s="12"/>
      <c r="B1077" s="12" t="s">
        <v>483</v>
      </c>
      <c r="C1077" s="24">
        <v>4215.16</v>
      </c>
    </row>
    <row r="1078" spans="1:3" hidden="1" outlineLevel="1">
      <c r="A1078" s="12"/>
      <c r="B1078" s="12" t="s">
        <v>810</v>
      </c>
      <c r="C1078" s="24">
        <v>3738.56</v>
      </c>
    </row>
    <row r="1079" spans="1:3" hidden="1" outlineLevel="1">
      <c r="A1079" s="12"/>
      <c r="B1079" s="12" t="s">
        <v>84</v>
      </c>
      <c r="C1079" s="24">
        <v>3657.27</v>
      </c>
    </row>
    <row r="1080" spans="1:3" hidden="1" outlineLevel="1">
      <c r="A1080" s="12"/>
      <c r="B1080" s="12" t="s">
        <v>811</v>
      </c>
      <c r="C1080" s="24">
        <v>3336</v>
      </c>
    </row>
    <row r="1081" spans="1:3" hidden="1" outlineLevel="1">
      <c r="A1081" s="12"/>
      <c r="B1081" s="12" t="s">
        <v>316</v>
      </c>
      <c r="C1081" s="24">
        <v>3237.2</v>
      </c>
    </row>
    <row r="1082" spans="1:3" hidden="1" outlineLevel="1">
      <c r="A1082" s="12"/>
      <c r="B1082" s="12" t="s">
        <v>812</v>
      </c>
      <c r="C1082" s="24">
        <v>3152.83</v>
      </c>
    </row>
    <row r="1083" spans="1:3" hidden="1" outlineLevel="1">
      <c r="A1083" s="12"/>
      <c r="B1083" s="12" t="s">
        <v>218</v>
      </c>
      <c r="C1083" s="24">
        <v>3075.89</v>
      </c>
    </row>
    <row r="1084" spans="1:3" hidden="1" outlineLevel="1">
      <c r="A1084" s="12"/>
      <c r="B1084" s="12" t="s">
        <v>190</v>
      </c>
      <c r="C1084" s="24">
        <v>3049.41</v>
      </c>
    </row>
    <row r="1085" spans="1:3" hidden="1" outlineLevel="1">
      <c r="A1085" s="12"/>
      <c r="B1085" s="12" t="s">
        <v>813</v>
      </c>
      <c r="C1085" s="24">
        <v>2830.17</v>
      </c>
    </row>
    <row r="1086" spans="1:3" hidden="1" outlineLevel="1">
      <c r="A1086" s="12"/>
      <c r="B1086" s="12" t="s">
        <v>814</v>
      </c>
      <c r="C1086" s="24">
        <v>2820.78</v>
      </c>
    </row>
    <row r="1087" spans="1:3" hidden="1" outlineLevel="1">
      <c r="A1087" s="12"/>
      <c r="B1087" s="12" t="s">
        <v>815</v>
      </c>
      <c r="C1087" s="24">
        <v>2600</v>
      </c>
    </row>
    <row r="1088" spans="1:3" hidden="1" outlineLevel="1">
      <c r="A1088" s="12"/>
      <c r="B1088" s="12" t="s">
        <v>816</v>
      </c>
      <c r="C1088" s="24">
        <v>2599.46</v>
      </c>
    </row>
    <row r="1089" spans="1:3" hidden="1" outlineLevel="1">
      <c r="A1089" s="12"/>
      <c r="B1089" s="12" t="s">
        <v>817</v>
      </c>
      <c r="C1089" s="24">
        <v>2500</v>
      </c>
    </row>
    <row r="1090" spans="1:3" hidden="1" outlineLevel="1">
      <c r="A1090" s="12"/>
      <c r="B1090" s="12" t="s">
        <v>205</v>
      </c>
      <c r="C1090" s="24">
        <v>2434.9299999999998</v>
      </c>
    </row>
    <row r="1091" spans="1:3" hidden="1" outlineLevel="1">
      <c r="A1091" s="12"/>
      <c r="B1091" s="12" t="s">
        <v>613</v>
      </c>
      <c r="C1091" s="24">
        <v>2308.4</v>
      </c>
    </row>
    <row r="1092" spans="1:3" hidden="1" outlineLevel="1">
      <c r="A1092" s="12"/>
      <c r="B1092" s="12" t="s">
        <v>184</v>
      </c>
      <c r="C1092" s="24">
        <v>2217.9</v>
      </c>
    </row>
    <row r="1093" spans="1:3" hidden="1" outlineLevel="1">
      <c r="A1093" s="12"/>
      <c r="B1093" s="12" t="s">
        <v>818</v>
      </c>
      <c r="C1093" s="24">
        <v>2119.21</v>
      </c>
    </row>
    <row r="1094" spans="1:3" hidden="1" outlineLevel="1">
      <c r="A1094" s="12"/>
      <c r="B1094" s="12" t="s">
        <v>392</v>
      </c>
      <c r="C1094" s="24">
        <v>2065.86</v>
      </c>
    </row>
    <row r="1095" spans="1:3" hidden="1" outlineLevel="1">
      <c r="A1095" s="12"/>
      <c r="B1095" s="12" t="s">
        <v>189</v>
      </c>
      <c r="C1095" s="24">
        <v>2032.96</v>
      </c>
    </row>
    <row r="1096" spans="1:3" hidden="1" outlineLevel="1">
      <c r="A1096" s="12"/>
      <c r="B1096" s="12" t="s">
        <v>217</v>
      </c>
      <c r="C1096" s="24">
        <v>1950</v>
      </c>
    </row>
    <row r="1097" spans="1:3" hidden="1" outlineLevel="1">
      <c r="A1097" s="12"/>
      <c r="B1097" s="12" t="s">
        <v>819</v>
      </c>
      <c r="C1097" s="24">
        <v>1942.94</v>
      </c>
    </row>
    <row r="1098" spans="1:3" hidden="1" outlineLevel="1">
      <c r="A1098" s="12"/>
      <c r="B1098" s="12" t="s">
        <v>820</v>
      </c>
      <c r="C1098" s="24">
        <v>1887.61</v>
      </c>
    </row>
    <row r="1099" spans="1:3" hidden="1" outlineLevel="1">
      <c r="A1099" s="12"/>
      <c r="B1099" s="12" t="s">
        <v>96</v>
      </c>
      <c r="C1099" s="24">
        <v>1594.8800000000006</v>
      </c>
    </row>
    <row r="1100" spans="1:3" hidden="1" outlineLevel="1">
      <c r="A1100" s="12"/>
      <c r="B1100" s="12" t="s">
        <v>188</v>
      </c>
      <c r="C1100" s="24">
        <v>1586.38</v>
      </c>
    </row>
    <row r="1101" spans="1:3" hidden="1" outlineLevel="1">
      <c r="A1101" s="12"/>
      <c r="B1101" s="12" t="s">
        <v>86</v>
      </c>
      <c r="C1101" s="24">
        <v>1501.07</v>
      </c>
    </row>
    <row r="1102" spans="1:3" hidden="1" outlineLevel="1">
      <c r="A1102" s="12"/>
      <c r="B1102" s="12" t="s">
        <v>596</v>
      </c>
      <c r="C1102" s="24">
        <v>1500</v>
      </c>
    </row>
    <row r="1103" spans="1:3" hidden="1" outlineLevel="1">
      <c r="A1103" s="12"/>
      <c r="B1103" s="12" t="s">
        <v>821</v>
      </c>
      <c r="C1103" s="24">
        <v>1444.26</v>
      </c>
    </row>
    <row r="1104" spans="1:3" hidden="1" outlineLevel="1">
      <c r="A1104" s="12"/>
      <c r="B1104" s="12" t="s">
        <v>822</v>
      </c>
      <c r="C1104" s="24">
        <v>1350</v>
      </c>
    </row>
    <row r="1105" spans="1:3" hidden="1" outlineLevel="1">
      <c r="A1105" s="12"/>
      <c r="B1105" s="12" t="s">
        <v>823</v>
      </c>
      <c r="C1105" s="24">
        <v>1255.6099999999999</v>
      </c>
    </row>
    <row r="1106" spans="1:3" hidden="1" outlineLevel="1">
      <c r="A1106" s="12"/>
      <c r="B1106" s="12" t="s">
        <v>824</v>
      </c>
      <c r="C1106" s="24">
        <v>1095.3399999999999</v>
      </c>
    </row>
    <row r="1107" spans="1:3" hidden="1" outlineLevel="1">
      <c r="A1107" s="12"/>
      <c r="B1107" s="12" t="s">
        <v>387</v>
      </c>
      <c r="C1107" s="24">
        <v>1054.53</v>
      </c>
    </row>
    <row r="1108" spans="1:3" hidden="1" outlineLevel="1">
      <c r="A1108" s="12"/>
      <c r="B1108" s="12" t="s">
        <v>223</v>
      </c>
      <c r="C1108" s="24">
        <v>1026.95</v>
      </c>
    </row>
    <row r="1109" spans="1:3" hidden="1" outlineLevel="1">
      <c r="A1109" s="12"/>
      <c r="B1109" s="12" t="s">
        <v>195</v>
      </c>
      <c r="C1109" s="24">
        <v>925.42</v>
      </c>
    </row>
    <row r="1110" spans="1:3" hidden="1" outlineLevel="1">
      <c r="A1110" s="12"/>
      <c r="B1110" s="12" t="s">
        <v>90</v>
      </c>
      <c r="C1110" s="24">
        <v>849.98</v>
      </c>
    </row>
    <row r="1111" spans="1:3" hidden="1" outlineLevel="1">
      <c r="A1111" s="12"/>
      <c r="B1111" s="12" t="s">
        <v>825</v>
      </c>
      <c r="C1111" s="24">
        <v>818.56</v>
      </c>
    </row>
    <row r="1112" spans="1:3" hidden="1" outlineLevel="1">
      <c r="A1112" s="12"/>
      <c r="B1112" s="12" t="s">
        <v>408</v>
      </c>
      <c r="C1112" s="24">
        <v>800.84999999999991</v>
      </c>
    </row>
    <row r="1113" spans="1:3" hidden="1" outlineLevel="1">
      <c r="A1113" s="12"/>
      <c r="B1113" s="12" t="s">
        <v>399</v>
      </c>
      <c r="C1113" s="24">
        <v>795.68</v>
      </c>
    </row>
    <row r="1114" spans="1:3" hidden="1" outlineLevel="1">
      <c r="A1114" s="12"/>
      <c r="B1114" s="12" t="s">
        <v>622</v>
      </c>
      <c r="C1114" s="24">
        <v>755.42000000000007</v>
      </c>
    </row>
    <row r="1115" spans="1:3" hidden="1" outlineLevel="1">
      <c r="A1115" s="12"/>
      <c r="B1115" s="12" t="s">
        <v>330</v>
      </c>
      <c r="C1115" s="24">
        <v>741.54</v>
      </c>
    </row>
    <row r="1116" spans="1:3" hidden="1" outlineLevel="1">
      <c r="A1116" s="12"/>
      <c r="B1116" s="12" t="s">
        <v>328</v>
      </c>
      <c r="C1116" s="24">
        <v>643.42999999999995</v>
      </c>
    </row>
    <row r="1117" spans="1:3" hidden="1" outlineLevel="1">
      <c r="A1117" s="12"/>
      <c r="B1117" s="12" t="s">
        <v>76</v>
      </c>
      <c r="C1117" s="24">
        <v>639.72</v>
      </c>
    </row>
    <row r="1118" spans="1:3" hidden="1" outlineLevel="1">
      <c r="A1118" s="12"/>
      <c r="B1118" s="12" t="s">
        <v>826</v>
      </c>
      <c r="C1118" s="24">
        <v>581.51</v>
      </c>
    </row>
    <row r="1119" spans="1:3" hidden="1" outlineLevel="1">
      <c r="A1119" s="12"/>
      <c r="B1119" s="12" t="s">
        <v>827</v>
      </c>
      <c r="C1119" s="24">
        <v>478.92</v>
      </c>
    </row>
    <row r="1120" spans="1:3" hidden="1" outlineLevel="1">
      <c r="A1120" s="12"/>
      <c r="B1120" s="12" t="s">
        <v>828</v>
      </c>
      <c r="C1120" s="24">
        <v>431.84</v>
      </c>
    </row>
    <row r="1121" spans="1:3" hidden="1" outlineLevel="1">
      <c r="A1121" s="12"/>
      <c r="B1121" s="12" t="s">
        <v>98</v>
      </c>
      <c r="C1121" s="24">
        <v>282.57</v>
      </c>
    </row>
    <row r="1122" spans="1:3" hidden="1" outlineLevel="1">
      <c r="A1122" s="12"/>
      <c r="B1122" s="12" t="s">
        <v>221</v>
      </c>
      <c r="C1122" s="24">
        <v>260</v>
      </c>
    </row>
    <row r="1123" spans="1:3" hidden="1" outlineLevel="1">
      <c r="A1123" s="12"/>
      <c r="B1123" s="12" t="s">
        <v>829</v>
      </c>
      <c r="C1123" s="24">
        <v>198.6</v>
      </c>
    </row>
    <row r="1124" spans="1:3" collapsed="1">
      <c r="A1124" s="12"/>
      <c r="B1124" s="25"/>
      <c r="C1124" s="26">
        <f>SUM(C997:C1053)</f>
        <v>10648718.070000002</v>
      </c>
    </row>
    <row r="1125" spans="1:3">
      <c r="A1125" s="12"/>
      <c r="B1125" s="12"/>
      <c r="C1125" s="24"/>
    </row>
    <row r="1126" spans="1:3">
      <c r="A1126" s="47" t="s">
        <v>16</v>
      </c>
      <c r="B1126" s="12" t="s">
        <v>830</v>
      </c>
      <c r="C1126" s="24">
        <v>16120.5</v>
      </c>
    </row>
    <row r="1127" spans="1:3">
      <c r="A1127" s="47"/>
      <c r="B1127" s="12" t="s">
        <v>309</v>
      </c>
      <c r="C1127" s="24">
        <v>2947.56</v>
      </c>
    </row>
    <row r="1128" spans="1:3">
      <c r="A1128" s="47"/>
      <c r="B1128" s="12" t="s">
        <v>831</v>
      </c>
      <c r="C1128" s="24">
        <v>1253.51</v>
      </c>
    </row>
    <row r="1129" spans="1:3">
      <c r="A1129" s="47"/>
      <c r="B1129" s="12" t="s">
        <v>561</v>
      </c>
      <c r="C1129" s="24">
        <v>32807.57</v>
      </c>
    </row>
    <row r="1130" spans="1:3">
      <c r="A1130" s="47"/>
      <c r="B1130" s="12" t="s">
        <v>832</v>
      </c>
      <c r="C1130" s="24">
        <v>391.76</v>
      </c>
    </row>
    <row r="1131" spans="1:3">
      <c r="A1131" s="47"/>
      <c r="B1131" s="12" t="s">
        <v>833</v>
      </c>
      <c r="C1131" s="24">
        <v>2527.9</v>
      </c>
    </row>
    <row r="1132" spans="1:3">
      <c r="A1132" s="47"/>
      <c r="B1132" s="12" t="s">
        <v>81</v>
      </c>
      <c r="C1132" s="24">
        <v>4407.6400000000003</v>
      </c>
    </row>
    <row r="1133" spans="1:3">
      <c r="A1133" s="47"/>
      <c r="B1133" s="12" t="s">
        <v>57</v>
      </c>
      <c r="C1133" s="24">
        <v>16379.109999999999</v>
      </c>
    </row>
    <row r="1134" spans="1:3">
      <c r="A1134" s="47"/>
      <c r="B1134" s="12" t="s">
        <v>70</v>
      </c>
      <c r="C1134" s="24">
        <v>11341.24</v>
      </c>
    </row>
    <row r="1135" spans="1:3">
      <c r="A1135" s="47"/>
      <c r="B1135" s="12" t="s">
        <v>834</v>
      </c>
      <c r="C1135" s="24">
        <v>244871.79</v>
      </c>
    </row>
    <row r="1136" spans="1:3">
      <c r="A1136" s="47"/>
      <c r="B1136" s="12" t="s">
        <v>96</v>
      </c>
      <c r="C1136" s="24">
        <v>498.41</v>
      </c>
    </row>
    <row r="1137" spans="1:3">
      <c r="A1137" s="47"/>
      <c r="B1137" s="12" t="s">
        <v>72</v>
      </c>
      <c r="C1137" s="24">
        <v>1593.88</v>
      </c>
    </row>
    <row r="1138" spans="1:3">
      <c r="A1138" s="47"/>
      <c r="B1138" s="12" t="s">
        <v>76</v>
      </c>
      <c r="C1138" s="24">
        <v>1599.29</v>
      </c>
    </row>
    <row r="1139" spans="1:3">
      <c r="A1139" s="47"/>
      <c r="B1139" s="12" t="s">
        <v>325</v>
      </c>
      <c r="C1139" s="24">
        <v>1920</v>
      </c>
    </row>
    <row r="1140" spans="1:3">
      <c r="A1140" s="47"/>
      <c r="B1140" s="12" t="s">
        <v>835</v>
      </c>
      <c r="C1140" s="24">
        <v>4000</v>
      </c>
    </row>
    <row r="1141" spans="1:3">
      <c r="A1141" s="47"/>
      <c r="B1141" s="12" t="s">
        <v>485</v>
      </c>
      <c r="C1141" s="24">
        <v>270</v>
      </c>
    </row>
    <row r="1142" spans="1:3">
      <c r="A1142" s="47"/>
      <c r="B1142" s="12" t="s">
        <v>67</v>
      </c>
      <c r="C1142" s="24">
        <v>40700.080000000002</v>
      </c>
    </row>
    <row r="1143" spans="1:3">
      <c r="A1143" s="12"/>
      <c r="B1143" s="25"/>
      <c r="C1143" s="26">
        <f>SUM(C1126:C1142)</f>
        <v>383630.24</v>
      </c>
    </row>
    <row r="1144" spans="1:3">
      <c r="A1144" s="12"/>
      <c r="B1144" s="12"/>
      <c r="C1144" s="24"/>
    </row>
    <row r="1145" spans="1:3">
      <c r="A1145" s="47" t="s">
        <v>15</v>
      </c>
      <c r="B1145" s="12" t="s">
        <v>571</v>
      </c>
      <c r="C1145" s="24">
        <v>37875.35</v>
      </c>
    </row>
    <row r="1146" spans="1:3">
      <c r="A1146" s="47"/>
      <c r="B1146" s="12" t="s">
        <v>836</v>
      </c>
      <c r="C1146" s="24">
        <v>164660.51</v>
      </c>
    </row>
    <row r="1147" spans="1:3">
      <c r="A1147" s="47"/>
      <c r="B1147" s="12" t="s">
        <v>837</v>
      </c>
      <c r="C1147" s="24">
        <v>33268.97</v>
      </c>
    </row>
    <row r="1148" spans="1:3">
      <c r="A1148" s="47"/>
      <c r="B1148" s="12" t="s">
        <v>838</v>
      </c>
      <c r="C1148" s="24">
        <v>3887.65</v>
      </c>
    </row>
    <row r="1149" spans="1:3">
      <c r="A1149" s="47"/>
      <c r="B1149" s="12" t="s">
        <v>330</v>
      </c>
      <c r="C1149" s="24">
        <v>3300</v>
      </c>
    </row>
    <row r="1150" spans="1:3">
      <c r="A1150" s="47"/>
      <c r="B1150" s="12" t="s">
        <v>214</v>
      </c>
      <c r="C1150" s="24">
        <v>1043.8</v>
      </c>
    </row>
    <row r="1151" spans="1:3">
      <c r="A1151" s="47"/>
      <c r="B1151" s="12" t="s">
        <v>611</v>
      </c>
      <c r="C1151" s="24">
        <v>2117.65</v>
      </c>
    </row>
    <row r="1152" spans="1:3">
      <c r="A1152" s="47"/>
      <c r="B1152" s="12" t="s">
        <v>57</v>
      </c>
      <c r="C1152" s="24">
        <v>4516.3900000000003</v>
      </c>
    </row>
    <row r="1153" spans="1:3">
      <c r="A1153" s="47"/>
      <c r="B1153" s="12" t="s">
        <v>839</v>
      </c>
      <c r="C1153" s="24">
        <v>4492.38</v>
      </c>
    </row>
    <row r="1154" spans="1:3">
      <c r="A1154" s="47"/>
      <c r="B1154" s="12" t="s">
        <v>840</v>
      </c>
      <c r="C1154" s="24">
        <v>39212.6</v>
      </c>
    </row>
    <row r="1155" spans="1:3">
      <c r="A1155" s="12"/>
      <c r="B1155" s="25"/>
      <c r="C1155" s="26">
        <f>SUM(C1145:C1154)</f>
        <v>294375.3</v>
      </c>
    </row>
    <row r="1156" spans="1:3">
      <c r="A1156" s="12"/>
      <c r="B1156" s="12"/>
      <c r="C1156" s="24"/>
    </row>
    <row r="1157" spans="1:3">
      <c r="A1157" s="47" t="s">
        <v>17</v>
      </c>
      <c r="B1157" s="12" t="s">
        <v>830</v>
      </c>
      <c r="C1157" s="24">
        <v>161205.04999999999</v>
      </c>
    </row>
    <row r="1158" spans="1:3">
      <c r="A1158" s="47"/>
      <c r="B1158" s="12" t="s">
        <v>841</v>
      </c>
      <c r="C1158" s="24">
        <v>1627.61</v>
      </c>
    </row>
    <row r="1159" spans="1:3">
      <c r="A1159" s="47"/>
      <c r="B1159" s="12" t="s">
        <v>487</v>
      </c>
      <c r="C1159" s="24">
        <v>651.62</v>
      </c>
    </row>
    <row r="1160" spans="1:3">
      <c r="A1160" s="47"/>
      <c r="B1160" s="12" t="s">
        <v>819</v>
      </c>
      <c r="C1160" s="24">
        <v>1942.95</v>
      </c>
    </row>
    <row r="1161" spans="1:3">
      <c r="A1161" s="47"/>
      <c r="B1161" s="12" t="s">
        <v>195</v>
      </c>
      <c r="C1161" s="24">
        <v>411.29</v>
      </c>
    </row>
    <row r="1162" spans="1:3">
      <c r="A1162" s="47"/>
      <c r="B1162" s="12" t="s">
        <v>96</v>
      </c>
      <c r="C1162" s="24">
        <v>498.41</v>
      </c>
    </row>
    <row r="1163" spans="1:3">
      <c r="A1163" s="47"/>
      <c r="B1163" s="12" t="s">
        <v>492</v>
      </c>
      <c r="C1163" s="24">
        <v>199.49</v>
      </c>
    </row>
    <row r="1164" spans="1:3">
      <c r="A1164" s="47"/>
      <c r="B1164" s="12" t="s">
        <v>704</v>
      </c>
      <c r="C1164" s="24">
        <v>3434.73</v>
      </c>
    </row>
    <row r="1165" spans="1:3">
      <c r="A1165" s="47"/>
      <c r="B1165" s="12" t="s">
        <v>395</v>
      </c>
      <c r="C1165" s="24">
        <v>2521</v>
      </c>
    </row>
    <row r="1166" spans="1:3">
      <c r="A1166" s="47"/>
      <c r="B1166" s="12" t="s">
        <v>85</v>
      </c>
      <c r="C1166" s="24">
        <v>1418.55</v>
      </c>
    </row>
    <row r="1167" spans="1:3">
      <c r="A1167" s="47"/>
      <c r="B1167" s="12" t="s">
        <v>208</v>
      </c>
      <c r="C1167" s="24">
        <v>768.77</v>
      </c>
    </row>
    <row r="1168" spans="1:3">
      <c r="A1168" s="12"/>
      <c r="B1168" s="25"/>
      <c r="C1168" s="26">
        <f>SUM(C1157:C1167)</f>
        <v>174679.46999999997</v>
      </c>
    </row>
  </sheetData>
  <sortState xmlns:xlrd2="http://schemas.microsoft.com/office/spreadsheetml/2017/richdata2" ref="A3:C78">
    <sortCondition descending="1" ref="C1:C78"/>
  </sortState>
  <mergeCells count="13">
    <mergeCell ref="A579:A598"/>
    <mergeCell ref="A3:A22"/>
    <mergeCell ref="A81:A100"/>
    <mergeCell ref="A225:A243"/>
    <mergeCell ref="A355:A374"/>
    <mergeCell ref="A457:A476"/>
    <mergeCell ref="A1157:A1167"/>
    <mergeCell ref="A776:A795"/>
    <mergeCell ref="A928:A947"/>
    <mergeCell ref="A983:A993"/>
    <mergeCell ref="A997:A1053"/>
    <mergeCell ref="A1126:A1142"/>
    <mergeCell ref="A1145:A11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A461-DB0E-4988-A772-B0E5095CC711}">
  <dimension ref="A4:C1010"/>
  <sheetViews>
    <sheetView topLeftCell="A966" workbookViewId="0">
      <selection activeCell="A4" sqref="A4:C4"/>
    </sheetView>
  </sheetViews>
  <sheetFormatPr defaultColWidth="28.42578125" defaultRowHeight="14.1" outlineLevelRow="1"/>
  <cols>
    <col min="1" max="1" width="23.42578125" style="3" customWidth="1"/>
    <col min="2" max="2" width="38.85546875" style="4" customWidth="1"/>
    <col min="3" max="3" width="28.42578125" style="5"/>
    <col min="4" max="16384" width="28.42578125" style="3"/>
  </cols>
  <sheetData>
    <row r="4" spans="1:3">
      <c r="A4" s="17" t="s">
        <v>24</v>
      </c>
      <c r="B4" s="18" t="s">
        <v>25</v>
      </c>
      <c r="C4" s="19" t="s">
        <v>26</v>
      </c>
    </row>
    <row r="5" spans="1:3">
      <c r="A5" s="47" t="s">
        <v>5</v>
      </c>
      <c r="B5" s="9" t="s">
        <v>842</v>
      </c>
      <c r="C5" s="10">
        <v>16751182.310000001</v>
      </c>
    </row>
    <row r="6" spans="1:3">
      <c r="A6" s="47"/>
      <c r="B6" s="9" t="s">
        <v>843</v>
      </c>
      <c r="C6" s="10">
        <v>14059021.390000001</v>
      </c>
    </row>
    <row r="7" spans="1:3">
      <c r="A7" s="47"/>
      <c r="B7" s="9" t="s">
        <v>844</v>
      </c>
      <c r="C7" s="10">
        <v>6106546.3499999996</v>
      </c>
    </row>
    <row r="8" spans="1:3">
      <c r="A8" s="47"/>
      <c r="B8" s="9" t="s">
        <v>845</v>
      </c>
      <c r="C8" s="10">
        <v>3261551.56</v>
      </c>
    </row>
    <row r="9" spans="1:3">
      <c r="A9" s="47"/>
      <c r="B9" s="9" t="s">
        <v>846</v>
      </c>
      <c r="C9" s="10">
        <v>2278465.7200000002</v>
      </c>
    </row>
    <row r="10" spans="1:3" ht="27.95">
      <c r="A10" s="47"/>
      <c r="B10" s="9" t="s">
        <v>847</v>
      </c>
      <c r="C10" s="10">
        <v>2168736.7999999998</v>
      </c>
    </row>
    <row r="11" spans="1:3" ht="27.95">
      <c r="A11" s="47"/>
      <c r="B11" s="9" t="s">
        <v>848</v>
      </c>
      <c r="C11" s="10">
        <v>1795656</v>
      </c>
    </row>
    <row r="12" spans="1:3" ht="27.95">
      <c r="A12" s="47"/>
      <c r="B12" s="9" t="s">
        <v>849</v>
      </c>
      <c r="C12" s="10">
        <v>1666836.33</v>
      </c>
    </row>
    <row r="13" spans="1:3">
      <c r="A13" s="47"/>
      <c r="B13" s="9" t="s">
        <v>850</v>
      </c>
      <c r="C13" s="10">
        <v>1315480.25</v>
      </c>
    </row>
    <row r="14" spans="1:3">
      <c r="A14" s="47"/>
      <c r="B14" s="9" t="s">
        <v>851</v>
      </c>
      <c r="C14" s="10">
        <v>876273.17</v>
      </c>
    </row>
    <row r="15" spans="1:3">
      <c r="A15" s="47"/>
      <c r="B15" s="9" t="s">
        <v>852</v>
      </c>
      <c r="C15" s="10">
        <v>824909.3</v>
      </c>
    </row>
    <row r="16" spans="1:3" ht="27.95">
      <c r="A16" s="47"/>
      <c r="B16" s="9" t="s">
        <v>853</v>
      </c>
      <c r="C16" s="10">
        <v>677187.7699999999</v>
      </c>
    </row>
    <row r="17" spans="1:3">
      <c r="A17" s="47"/>
      <c r="B17" s="9" t="s">
        <v>854</v>
      </c>
      <c r="C17" s="10">
        <v>655104.25</v>
      </c>
    </row>
    <row r="18" spans="1:3" ht="27.95">
      <c r="A18" s="47"/>
      <c r="B18" s="9" t="s">
        <v>855</v>
      </c>
      <c r="C18" s="10">
        <v>606081.15</v>
      </c>
    </row>
    <row r="19" spans="1:3">
      <c r="A19" s="47"/>
      <c r="B19" s="9" t="s">
        <v>856</v>
      </c>
      <c r="C19" s="10">
        <v>567129.92999999993</v>
      </c>
    </row>
    <row r="20" spans="1:3" ht="27.95">
      <c r="A20" s="47"/>
      <c r="B20" s="9" t="s">
        <v>857</v>
      </c>
      <c r="C20" s="10">
        <v>551568.9</v>
      </c>
    </row>
    <row r="21" spans="1:3" ht="27.95">
      <c r="A21" s="47"/>
      <c r="B21" s="9" t="s">
        <v>858</v>
      </c>
      <c r="C21" s="10">
        <v>547607.04000000004</v>
      </c>
    </row>
    <row r="22" spans="1:3" ht="27.95">
      <c r="A22" s="47"/>
      <c r="B22" s="9" t="s">
        <v>859</v>
      </c>
      <c r="C22" s="10">
        <v>518305.93</v>
      </c>
    </row>
    <row r="23" spans="1:3" ht="27.95">
      <c r="A23" s="47"/>
      <c r="B23" s="9" t="s">
        <v>860</v>
      </c>
      <c r="C23" s="10">
        <v>370430.02</v>
      </c>
    </row>
    <row r="24" spans="1:3" ht="27.95">
      <c r="A24" s="47"/>
      <c r="B24" s="9" t="s">
        <v>861</v>
      </c>
      <c r="C24" s="10">
        <v>250000</v>
      </c>
    </row>
    <row r="25" spans="1:3" ht="27.95" hidden="1" outlineLevel="1">
      <c r="A25" s="12"/>
      <c r="B25" s="9" t="s">
        <v>862</v>
      </c>
      <c r="C25" s="10">
        <v>247468.42</v>
      </c>
    </row>
    <row r="26" spans="1:3" ht="27.95" hidden="1" outlineLevel="1">
      <c r="A26" s="12"/>
      <c r="B26" s="9" t="s">
        <v>863</v>
      </c>
      <c r="C26" s="10">
        <v>204336.37999999998</v>
      </c>
    </row>
    <row r="27" spans="1:3" hidden="1" outlineLevel="1">
      <c r="A27" s="12"/>
      <c r="B27" s="9" t="s">
        <v>864</v>
      </c>
      <c r="C27" s="10">
        <v>200750</v>
      </c>
    </row>
    <row r="28" spans="1:3" ht="27.95" hidden="1" outlineLevel="1">
      <c r="A28" s="12"/>
      <c r="B28" s="9" t="s">
        <v>865</v>
      </c>
      <c r="C28" s="10">
        <v>191599.69</v>
      </c>
    </row>
    <row r="29" spans="1:3" ht="27.95" hidden="1" outlineLevel="1">
      <c r="A29" s="12"/>
      <c r="B29" s="9" t="s">
        <v>866</v>
      </c>
      <c r="C29" s="10">
        <v>163255.09</v>
      </c>
    </row>
    <row r="30" spans="1:3" ht="27.95" hidden="1" outlineLevel="1">
      <c r="A30" s="12"/>
      <c r="B30" s="9" t="s">
        <v>867</v>
      </c>
      <c r="C30" s="10">
        <v>145075.99</v>
      </c>
    </row>
    <row r="31" spans="1:3" hidden="1" outlineLevel="1">
      <c r="A31" s="12"/>
      <c r="B31" s="9" t="s">
        <v>868</v>
      </c>
      <c r="C31" s="10">
        <v>139064.77000000002</v>
      </c>
    </row>
    <row r="32" spans="1:3" ht="42" hidden="1" outlineLevel="1">
      <c r="A32" s="12"/>
      <c r="B32" s="9" t="s">
        <v>869</v>
      </c>
      <c r="C32" s="10">
        <v>134557.03</v>
      </c>
    </row>
    <row r="33" spans="1:3" hidden="1" outlineLevel="1">
      <c r="A33" s="12"/>
      <c r="B33" s="9" t="s">
        <v>870</v>
      </c>
      <c r="C33" s="10">
        <v>92922.37</v>
      </c>
    </row>
    <row r="34" spans="1:3" hidden="1" outlineLevel="1">
      <c r="A34" s="12"/>
      <c r="B34" s="9" t="s">
        <v>871</v>
      </c>
      <c r="C34" s="10">
        <v>92371.540000000008</v>
      </c>
    </row>
    <row r="35" spans="1:3" hidden="1" outlineLevel="1">
      <c r="A35" s="12"/>
      <c r="B35" s="9" t="s">
        <v>872</v>
      </c>
      <c r="C35" s="10">
        <v>90000</v>
      </c>
    </row>
    <row r="36" spans="1:3" ht="27.95" hidden="1" outlineLevel="1">
      <c r="A36" s="12"/>
      <c r="B36" s="9" t="s">
        <v>873</v>
      </c>
      <c r="C36" s="10">
        <v>87400</v>
      </c>
    </row>
    <row r="37" spans="1:3" hidden="1" outlineLevel="1">
      <c r="A37" s="12"/>
      <c r="B37" s="9" t="s">
        <v>874</v>
      </c>
      <c r="C37" s="10">
        <v>84689.25</v>
      </c>
    </row>
    <row r="38" spans="1:3" ht="27.95" hidden="1" outlineLevel="1">
      <c r="A38" s="12"/>
      <c r="B38" s="9" t="s">
        <v>875</v>
      </c>
      <c r="C38" s="10">
        <v>79113.25</v>
      </c>
    </row>
    <row r="39" spans="1:3" hidden="1" outlineLevel="1">
      <c r="A39" s="12"/>
      <c r="B39" s="9" t="s">
        <v>876</v>
      </c>
      <c r="C39" s="10">
        <v>78597.5</v>
      </c>
    </row>
    <row r="40" spans="1:3" ht="27.95" hidden="1" outlineLevel="1">
      <c r="A40" s="12"/>
      <c r="B40" s="9" t="s">
        <v>877</v>
      </c>
      <c r="C40" s="10">
        <v>76644.960000000006</v>
      </c>
    </row>
    <row r="41" spans="1:3" hidden="1" outlineLevel="1">
      <c r="A41" s="12"/>
      <c r="B41" s="9" t="s">
        <v>878</v>
      </c>
      <c r="C41" s="10">
        <v>62751.7</v>
      </c>
    </row>
    <row r="42" spans="1:3" hidden="1" outlineLevel="1">
      <c r="A42" s="12"/>
      <c r="B42" s="9" t="s">
        <v>879</v>
      </c>
      <c r="C42" s="10">
        <v>60170.05</v>
      </c>
    </row>
    <row r="43" spans="1:3" ht="27.95" hidden="1" outlineLevel="1">
      <c r="A43" s="12"/>
      <c r="B43" s="9" t="s">
        <v>880</v>
      </c>
      <c r="C43" s="10">
        <v>58756.08</v>
      </c>
    </row>
    <row r="44" spans="1:3" hidden="1" outlineLevel="1">
      <c r="A44" s="12"/>
      <c r="B44" s="9" t="s">
        <v>881</v>
      </c>
      <c r="C44" s="10">
        <v>52604.049999999996</v>
      </c>
    </row>
    <row r="45" spans="1:3" hidden="1" outlineLevel="1">
      <c r="A45" s="12"/>
      <c r="B45" s="9" t="s">
        <v>882</v>
      </c>
      <c r="C45" s="10">
        <v>48795.63</v>
      </c>
    </row>
    <row r="46" spans="1:3" ht="27.95" hidden="1" outlineLevel="1">
      <c r="A46" s="12"/>
      <c r="B46" s="9" t="s">
        <v>883</v>
      </c>
      <c r="C46" s="10">
        <v>47683.46</v>
      </c>
    </row>
    <row r="47" spans="1:3" hidden="1" outlineLevel="1">
      <c r="A47" s="12"/>
      <c r="B47" s="9" t="s">
        <v>884</v>
      </c>
      <c r="C47" s="10">
        <v>42104.81</v>
      </c>
    </row>
    <row r="48" spans="1:3" ht="27.95" hidden="1" outlineLevel="1">
      <c r="A48" s="12"/>
      <c r="B48" s="9" t="s">
        <v>885</v>
      </c>
      <c r="C48" s="10">
        <v>37807.35</v>
      </c>
    </row>
    <row r="49" spans="1:3" hidden="1" outlineLevel="1">
      <c r="A49" s="12"/>
      <c r="B49" s="9" t="s">
        <v>886</v>
      </c>
      <c r="C49" s="10">
        <v>33439.49</v>
      </c>
    </row>
    <row r="50" spans="1:3" ht="27.95" hidden="1" outlineLevel="1">
      <c r="A50" s="12"/>
      <c r="B50" s="9" t="s">
        <v>887</v>
      </c>
      <c r="C50" s="10">
        <v>30138.38</v>
      </c>
    </row>
    <row r="51" spans="1:3" ht="27.95" hidden="1" outlineLevel="1">
      <c r="A51" s="12"/>
      <c r="B51" s="9" t="s">
        <v>888</v>
      </c>
      <c r="C51" s="10">
        <v>28716.77</v>
      </c>
    </row>
    <row r="52" spans="1:3" hidden="1" outlineLevel="1">
      <c r="A52" s="12"/>
      <c r="B52" s="9" t="s">
        <v>889</v>
      </c>
      <c r="C52" s="10">
        <v>28000</v>
      </c>
    </row>
    <row r="53" spans="1:3" hidden="1" outlineLevel="1">
      <c r="A53" s="12"/>
      <c r="B53" s="9" t="s">
        <v>890</v>
      </c>
      <c r="C53" s="10">
        <v>27731.03</v>
      </c>
    </row>
    <row r="54" spans="1:3" hidden="1" outlineLevel="1">
      <c r="A54" s="12"/>
      <c r="B54" s="9" t="s">
        <v>891</v>
      </c>
      <c r="C54" s="10">
        <v>27547.360000000001</v>
      </c>
    </row>
    <row r="55" spans="1:3" ht="27.95" hidden="1" outlineLevel="1">
      <c r="A55" s="12"/>
      <c r="B55" s="9" t="s">
        <v>892</v>
      </c>
      <c r="C55" s="10">
        <v>24920.6</v>
      </c>
    </row>
    <row r="56" spans="1:3" hidden="1" outlineLevel="1">
      <c r="A56" s="12"/>
      <c r="B56" s="9" t="s">
        <v>893</v>
      </c>
      <c r="C56" s="10">
        <v>23709.09</v>
      </c>
    </row>
    <row r="57" spans="1:3" hidden="1" outlineLevel="1">
      <c r="A57" s="12"/>
      <c r="B57" s="9" t="s">
        <v>894</v>
      </c>
      <c r="C57" s="10">
        <v>23536.65</v>
      </c>
    </row>
    <row r="58" spans="1:3" hidden="1" outlineLevel="1">
      <c r="A58" s="12"/>
      <c r="B58" s="9" t="s">
        <v>895</v>
      </c>
      <c r="C58" s="10">
        <v>22050</v>
      </c>
    </row>
    <row r="59" spans="1:3" ht="27.95" hidden="1" outlineLevel="1">
      <c r="A59" s="12"/>
      <c r="B59" s="9" t="s">
        <v>896</v>
      </c>
      <c r="C59" s="10">
        <v>21499.98</v>
      </c>
    </row>
    <row r="60" spans="1:3" hidden="1" outlineLevel="1">
      <c r="A60" s="12"/>
      <c r="B60" s="9" t="s">
        <v>897</v>
      </c>
      <c r="C60" s="10">
        <v>16562</v>
      </c>
    </row>
    <row r="61" spans="1:3" hidden="1" outlineLevel="1">
      <c r="A61" s="12"/>
      <c r="B61" s="9" t="s">
        <v>898</v>
      </c>
      <c r="C61" s="10">
        <v>15529.86</v>
      </c>
    </row>
    <row r="62" spans="1:3" hidden="1" outlineLevel="1">
      <c r="A62" s="12"/>
      <c r="B62" s="9" t="s">
        <v>899</v>
      </c>
      <c r="C62" s="10">
        <v>14000</v>
      </c>
    </row>
    <row r="63" spans="1:3" hidden="1" outlineLevel="1">
      <c r="A63" s="12"/>
      <c r="B63" s="9" t="s">
        <v>900</v>
      </c>
      <c r="C63" s="10">
        <v>13870.58</v>
      </c>
    </row>
    <row r="64" spans="1:3" ht="27.95" hidden="1" outlineLevel="1">
      <c r="A64" s="12"/>
      <c r="B64" s="9" t="s">
        <v>901</v>
      </c>
      <c r="C64" s="10">
        <v>13073.75</v>
      </c>
    </row>
    <row r="65" spans="1:3" hidden="1" outlineLevel="1">
      <c r="A65" s="12"/>
      <c r="B65" s="9" t="s">
        <v>902</v>
      </c>
      <c r="C65" s="10">
        <v>12798.86</v>
      </c>
    </row>
    <row r="66" spans="1:3" hidden="1" outlineLevel="1">
      <c r="A66" s="12"/>
      <c r="B66" s="9" t="s">
        <v>903</v>
      </c>
      <c r="C66" s="10">
        <v>12773.06</v>
      </c>
    </row>
    <row r="67" spans="1:3" hidden="1" outlineLevel="1">
      <c r="A67" s="12"/>
      <c r="B67" s="9" t="s">
        <v>904</v>
      </c>
      <c r="C67" s="10">
        <v>11942.119999999999</v>
      </c>
    </row>
    <row r="68" spans="1:3" ht="27.95" hidden="1" outlineLevel="1">
      <c r="A68" s="12"/>
      <c r="B68" s="9" t="s">
        <v>905</v>
      </c>
      <c r="C68" s="10">
        <v>11115.74</v>
      </c>
    </row>
    <row r="69" spans="1:3" hidden="1" outlineLevel="1">
      <c r="A69" s="12"/>
      <c r="B69" s="9" t="s">
        <v>906</v>
      </c>
      <c r="C69" s="10">
        <v>11115</v>
      </c>
    </row>
    <row r="70" spans="1:3" ht="27.95" hidden="1" outlineLevel="1">
      <c r="A70" s="12"/>
      <c r="B70" s="9" t="s">
        <v>907</v>
      </c>
      <c r="C70" s="10">
        <v>10902.01</v>
      </c>
    </row>
    <row r="71" spans="1:3" ht="27.95" hidden="1" outlineLevel="1">
      <c r="A71" s="12"/>
      <c r="B71" s="9" t="s">
        <v>908</v>
      </c>
      <c r="C71" s="10">
        <v>10542</v>
      </c>
    </row>
    <row r="72" spans="1:3" ht="27.95" hidden="1" outlineLevel="1">
      <c r="A72" s="12"/>
      <c r="B72" s="9" t="s">
        <v>909</v>
      </c>
      <c r="C72" s="10">
        <v>9566.2099999999991</v>
      </c>
    </row>
    <row r="73" spans="1:3" hidden="1" outlineLevel="1">
      <c r="A73" s="12"/>
      <c r="B73" s="9" t="s">
        <v>910</v>
      </c>
      <c r="C73" s="10">
        <v>9191.7899999999991</v>
      </c>
    </row>
    <row r="74" spans="1:3" hidden="1" outlineLevel="1">
      <c r="A74" s="12"/>
      <c r="B74" s="9" t="s">
        <v>911</v>
      </c>
      <c r="C74" s="10">
        <v>8970</v>
      </c>
    </row>
    <row r="75" spans="1:3" ht="27.95" hidden="1" outlineLevel="1">
      <c r="A75" s="12"/>
      <c r="B75" s="9" t="s">
        <v>912</v>
      </c>
      <c r="C75" s="10">
        <v>7850</v>
      </c>
    </row>
    <row r="76" spans="1:3" hidden="1" outlineLevel="1">
      <c r="A76" s="12"/>
      <c r="B76" s="9" t="s">
        <v>913</v>
      </c>
      <c r="C76" s="10">
        <v>5860.9499999999989</v>
      </c>
    </row>
    <row r="77" spans="1:3" hidden="1" outlineLevel="1">
      <c r="A77" s="12"/>
      <c r="B77" s="9" t="s">
        <v>914</v>
      </c>
      <c r="C77" s="10">
        <v>5851.61</v>
      </c>
    </row>
    <row r="78" spans="1:3" hidden="1" outlineLevel="1">
      <c r="A78" s="12"/>
      <c r="B78" s="9" t="s">
        <v>915</v>
      </c>
      <c r="C78" s="10">
        <v>5000</v>
      </c>
    </row>
    <row r="79" spans="1:3" hidden="1" outlineLevel="1">
      <c r="A79" s="12"/>
      <c r="B79" s="9" t="s">
        <v>916</v>
      </c>
      <c r="C79" s="10">
        <v>4800</v>
      </c>
    </row>
    <row r="80" spans="1:3" hidden="1" outlineLevel="1">
      <c r="A80" s="12"/>
      <c r="B80" s="9" t="s">
        <v>917</v>
      </c>
      <c r="C80" s="10">
        <v>4525.26</v>
      </c>
    </row>
    <row r="81" spans="1:3" hidden="1" outlineLevel="1">
      <c r="A81" s="12"/>
      <c r="B81" s="9" t="s">
        <v>918</v>
      </c>
      <c r="C81" s="10">
        <v>3766.9600000000005</v>
      </c>
    </row>
    <row r="82" spans="1:3" hidden="1" outlineLevel="1">
      <c r="A82" s="12"/>
      <c r="B82" s="9" t="s">
        <v>919</v>
      </c>
      <c r="C82" s="10">
        <v>3485.26</v>
      </c>
    </row>
    <row r="83" spans="1:3" hidden="1" outlineLevel="1">
      <c r="A83" s="12"/>
      <c r="B83" s="9" t="s">
        <v>920</v>
      </c>
      <c r="C83" s="10">
        <v>2970</v>
      </c>
    </row>
    <row r="84" spans="1:3" hidden="1" outlineLevel="1">
      <c r="A84" s="12"/>
      <c r="B84" s="9" t="s">
        <v>921</v>
      </c>
      <c r="C84" s="10">
        <v>2966.13</v>
      </c>
    </row>
    <row r="85" spans="1:3" hidden="1" outlineLevel="1">
      <c r="A85" s="12"/>
      <c r="B85" s="9" t="s">
        <v>922</v>
      </c>
      <c r="C85" s="10">
        <v>2664.29</v>
      </c>
    </row>
    <row r="86" spans="1:3" hidden="1" outlineLevel="1">
      <c r="A86" s="12"/>
      <c r="B86" s="9" t="s">
        <v>923</v>
      </c>
      <c r="C86" s="10">
        <v>2004.73</v>
      </c>
    </row>
    <row r="87" spans="1:3" ht="27.95" hidden="1" outlineLevel="1">
      <c r="A87" s="12"/>
      <c r="B87" s="9" t="s">
        <v>924</v>
      </c>
      <c r="C87" s="10">
        <v>1800</v>
      </c>
    </row>
    <row r="88" spans="1:3" hidden="1" outlineLevel="1">
      <c r="A88" s="12"/>
      <c r="B88" s="9" t="s">
        <v>925</v>
      </c>
      <c r="C88" s="10">
        <v>1763.06</v>
      </c>
    </row>
    <row r="89" spans="1:3" hidden="1" outlineLevel="1">
      <c r="A89" s="12"/>
      <c r="B89" s="9" t="s">
        <v>926</v>
      </c>
      <c r="C89" s="10">
        <v>1750</v>
      </c>
    </row>
    <row r="90" spans="1:3" ht="27.95" hidden="1" outlineLevel="1">
      <c r="A90" s="12"/>
      <c r="B90" s="9" t="s">
        <v>927</v>
      </c>
      <c r="C90" s="10">
        <v>1722.69</v>
      </c>
    </row>
    <row r="91" spans="1:3" ht="27.95" hidden="1" outlineLevel="1">
      <c r="A91" s="12"/>
      <c r="B91" s="9" t="s">
        <v>928</v>
      </c>
      <c r="C91" s="10">
        <v>1673.61</v>
      </c>
    </row>
    <row r="92" spans="1:3" ht="27.95" hidden="1" outlineLevel="1">
      <c r="A92" s="12"/>
      <c r="B92" s="9" t="s">
        <v>929</v>
      </c>
      <c r="C92" s="10">
        <v>1446.31</v>
      </c>
    </row>
    <row r="93" spans="1:3" hidden="1" outlineLevel="1">
      <c r="A93" s="12"/>
      <c r="B93" s="9" t="s">
        <v>930</v>
      </c>
      <c r="C93" s="10">
        <v>1444.47</v>
      </c>
    </row>
    <row r="94" spans="1:3" hidden="1" outlineLevel="1">
      <c r="A94" s="12"/>
      <c r="B94" s="9" t="s">
        <v>931</v>
      </c>
      <c r="C94" s="10">
        <v>1386.67</v>
      </c>
    </row>
    <row r="95" spans="1:3" hidden="1" outlineLevel="1">
      <c r="A95" s="12"/>
      <c r="B95" s="9" t="s">
        <v>932</v>
      </c>
      <c r="C95" s="10">
        <v>1303.23</v>
      </c>
    </row>
    <row r="96" spans="1:3" ht="27.95" hidden="1" outlineLevel="1">
      <c r="A96" s="12"/>
      <c r="B96" s="9" t="s">
        <v>933</v>
      </c>
      <c r="C96" s="10">
        <v>1096.83</v>
      </c>
    </row>
    <row r="97" spans="1:3" hidden="1" outlineLevel="1">
      <c r="A97" s="12"/>
      <c r="B97" s="9" t="s">
        <v>934</v>
      </c>
      <c r="C97" s="10">
        <v>1019.92</v>
      </c>
    </row>
    <row r="98" spans="1:3" hidden="1" outlineLevel="1">
      <c r="A98" s="12"/>
      <c r="B98" s="9" t="s">
        <v>935</v>
      </c>
      <c r="C98" s="10">
        <v>934.64</v>
      </c>
    </row>
    <row r="99" spans="1:3" hidden="1" outlineLevel="1">
      <c r="A99" s="12"/>
      <c r="B99" s="9" t="s">
        <v>936</v>
      </c>
      <c r="C99" s="10">
        <v>852.28</v>
      </c>
    </row>
    <row r="100" spans="1:3" hidden="1" outlineLevel="1">
      <c r="A100" s="12"/>
      <c r="B100" s="9" t="s">
        <v>937</v>
      </c>
      <c r="C100" s="10">
        <v>849.98</v>
      </c>
    </row>
    <row r="101" spans="1:3" hidden="1" outlineLevel="1">
      <c r="A101" s="12"/>
      <c r="B101" s="9" t="s">
        <v>938</v>
      </c>
      <c r="C101" s="10">
        <v>680</v>
      </c>
    </row>
    <row r="102" spans="1:3" ht="27.95" hidden="1" outlineLevel="1">
      <c r="A102" s="12"/>
      <c r="B102" s="9" t="s">
        <v>939</v>
      </c>
      <c r="C102" s="10">
        <v>583.69000000000005</v>
      </c>
    </row>
    <row r="103" spans="1:3" ht="27.95" hidden="1" outlineLevel="1">
      <c r="A103" s="12"/>
      <c r="B103" s="9" t="s">
        <v>940</v>
      </c>
      <c r="C103" s="10">
        <v>547.36</v>
      </c>
    </row>
    <row r="104" spans="1:3" hidden="1" outlineLevel="1">
      <c r="A104" s="12"/>
      <c r="B104" s="9" t="s">
        <v>941</v>
      </c>
      <c r="C104" s="10">
        <v>546.29999999999995</v>
      </c>
    </row>
    <row r="105" spans="1:3" ht="27.95" hidden="1" outlineLevel="1">
      <c r="A105" s="12"/>
      <c r="B105" s="9" t="s">
        <v>942</v>
      </c>
      <c r="C105" s="10">
        <v>486.85</v>
      </c>
    </row>
    <row r="106" spans="1:3" hidden="1" outlineLevel="1">
      <c r="A106" s="12"/>
      <c r="B106" s="9" t="s">
        <v>943</v>
      </c>
      <c r="C106" s="10">
        <v>477.54</v>
      </c>
    </row>
    <row r="107" spans="1:3" hidden="1" outlineLevel="1">
      <c r="A107" s="12"/>
      <c r="B107" s="9" t="s">
        <v>944</v>
      </c>
      <c r="C107" s="10">
        <v>450</v>
      </c>
    </row>
    <row r="108" spans="1:3" ht="27.95" hidden="1" outlineLevel="1">
      <c r="A108" s="12"/>
      <c r="B108" s="9" t="s">
        <v>945</v>
      </c>
      <c r="C108" s="10">
        <v>385.34000000000003</v>
      </c>
    </row>
    <row r="109" spans="1:3" hidden="1" outlineLevel="1">
      <c r="A109" s="12"/>
      <c r="B109" s="9" t="s">
        <v>946</v>
      </c>
      <c r="C109" s="10">
        <v>86.86</v>
      </c>
    </row>
    <row r="110" spans="1:3" ht="27.95" hidden="1" outlineLevel="1">
      <c r="A110" s="12"/>
      <c r="B110" s="9" t="s">
        <v>947</v>
      </c>
      <c r="C110" s="10">
        <v>60</v>
      </c>
    </row>
    <row r="111" spans="1:3" ht="27.95" hidden="1" outlineLevel="1">
      <c r="A111" s="12"/>
      <c r="B111" s="9" t="s">
        <v>948</v>
      </c>
      <c r="C111" s="10">
        <v>28.72</v>
      </c>
    </row>
    <row r="112" spans="1:3" collapsed="1">
      <c r="A112" s="12"/>
      <c r="B112" s="13"/>
      <c r="C112" s="14">
        <f>SUM(C5:C24)</f>
        <v>55848074.170000002</v>
      </c>
    </row>
    <row r="113" spans="1:3">
      <c r="A113" s="12"/>
      <c r="B113" s="9"/>
      <c r="C113" s="10"/>
    </row>
    <row r="114" spans="1:3" ht="27.95">
      <c r="A114" s="47" t="s">
        <v>10</v>
      </c>
      <c r="B114" s="9" t="s">
        <v>949</v>
      </c>
      <c r="C114" s="10">
        <v>6183754.9299999997</v>
      </c>
    </row>
    <row r="115" spans="1:3" ht="27.95">
      <c r="A115" s="47"/>
      <c r="B115" s="9" t="s">
        <v>950</v>
      </c>
      <c r="C115" s="10">
        <v>4896446.0999999996</v>
      </c>
    </row>
    <row r="116" spans="1:3" ht="27.95">
      <c r="A116" s="47"/>
      <c r="B116" s="9" t="s">
        <v>951</v>
      </c>
      <c r="C116" s="10">
        <v>4747565.38</v>
      </c>
    </row>
    <row r="117" spans="1:3" ht="27.95">
      <c r="A117" s="47"/>
      <c r="B117" s="9" t="s">
        <v>952</v>
      </c>
      <c r="C117" s="10">
        <v>4309668.71</v>
      </c>
    </row>
    <row r="118" spans="1:3" ht="27.95">
      <c r="A118" s="47"/>
      <c r="B118" s="9" t="s">
        <v>953</v>
      </c>
      <c r="C118" s="10">
        <v>2398695.36</v>
      </c>
    </row>
    <row r="119" spans="1:3" ht="27.95">
      <c r="A119" s="47"/>
      <c r="B119" s="9" t="s">
        <v>954</v>
      </c>
      <c r="C119" s="10">
        <v>2271064.79</v>
      </c>
    </row>
    <row r="120" spans="1:3" ht="27.95">
      <c r="A120" s="47"/>
      <c r="B120" s="9" t="s">
        <v>955</v>
      </c>
      <c r="C120" s="10">
        <v>1736499.74</v>
      </c>
    </row>
    <row r="121" spans="1:3" ht="27.95">
      <c r="A121" s="47"/>
      <c r="B121" s="9" t="s">
        <v>956</v>
      </c>
      <c r="C121" s="10">
        <v>1357405.96</v>
      </c>
    </row>
    <row r="122" spans="1:3" ht="56.1">
      <c r="A122" s="47"/>
      <c r="B122" s="9" t="s">
        <v>957</v>
      </c>
      <c r="C122" s="10">
        <v>1272119.03</v>
      </c>
    </row>
    <row r="123" spans="1:3" ht="27.95">
      <c r="A123" s="47"/>
      <c r="B123" s="9" t="s">
        <v>958</v>
      </c>
      <c r="C123" s="10">
        <v>1228416.97</v>
      </c>
    </row>
    <row r="124" spans="1:3" ht="27.95">
      <c r="A124" s="47"/>
      <c r="B124" s="9" t="s">
        <v>959</v>
      </c>
      <c r="C124" s="10">
        <v>1077117.98</v>
      </c>
    </row>
    <row r="125" spans="1:3" ht="27.95">
      <c r="A125" s="47"/>
      <c r="B125" s="9" t="s">
        <v>960</v>
      </c>
      <c r="C125" s="10">
        <v>1019291.94</v>
      </c>
    </row>
    <row r="126" spans="1:3">
      <c r="A126" s="47"/>
      <c r="B126" s="9" t="s">
        <v>842</v>
      </c>
      <c r="C126" s="10">
        <v>985363.66</v>
      </c>
    </row>
    <row r="127" spans="1:3" ht="27.95">
      <c r="A127" s="47"/>
      <c r="B127" s="9" t="s">
        <v>961</v>
      </c>
      <c r="C127" s="10">
        <v>903527.97</v>
      </c>
    </row>
    <row r="128" spans="1:3" ht="27.95">
      <c r="A128" s="47"/>
      <c r="B128" s="9" t="s">
        <v>962</v>
      </c>
      <c r="C128" s="10">
        <v>716283.73</v>
      </c>
    </row>
    <row r="129" spans="1:3" ht="27.95">
      <c r="A129" s="47"/>
      <c r="B129" s="9" t="s">
        <v>963</v>
      </c>
      <c r="C129" s="10">
        <v>601423.30000000005</v>
      </c>
    </row>
    <row r="130" spans="1:3" ht="27.95">
      <c r="A130" s="47"/>
      <c r="B130" s="9" t="s">
        <v>964</v>
      </c>
      <c r="C130" s="10">
        <v>594318.18999999994</v>
      </c>
    </row>
    <row r="131" spans="1:3" ht="27.95">
      <c r="A131" s="47"/>
      <c r="B131" s="9" t="s">
        <v>965</v>
      </c>
      <c r="C131" s="10">
        <v>588162.4</v>
      </c>
    </row>
    <row r="132" spans="1:3">
      <c r="A132" s="47"/>
      <c r="B132" s="9" t="s">
        <v>966</v>
      </c>
      <c r="C132" s="10">
        <v>578098.72</v>
      </c>
    </row>
    <row r="133" spans="1:3" ht="27.95">
      <c r="A133" s="47"/>
      <c r="B133" s="9" t="s">
        <v>967</v>
      </c>
      <c r="C133" s="10">
        <v>571982.38</v>
      </c>
    </row>
    <row r="134" spans="1:3" ht="27.95" hidden="1" outlineLevel="1">
      <c r="A134" s="12"/>
      <c r="B134" s="9" t="s">
        <v>968</v>
      </c>
      <c r="C134" s="10">
        <v>546966.88</v>
      </c>
    </row>
    <row r="135" spans="1:3" ht="27.95" hidden="1" outlineLevel="1">
      <c r="A135" s="12"/>
      <c r="B135" s="9" t="s">
        <v>969</v>
      </c>
      <c r="C135" s="10">
        <v>504312</v>
      </c>
    </row>
    <row r="136" spans="1:3" ht="27.95" hidden="1" outlineLevel="1">
      <c r="A136" s="12"/>
      <c r="B136" s="9" t="s">
        <v>970</v>
      </c>
      <c r="C136" s="10">
        <v>491067.9</v>
      </c>
    </row>
    <row r="137" spans="1:3" hidden="1" outlineLevel="1">
      <c r="A137" s="12"/>
      <c r="B137" s="9" t="s">
        <v>971</v>
      </c>
      <c r="C137" s="10">
        <v>421417.62</v>
      </c>
    </row>
    <row r="138" spans="1:3" ht="27.95" hidden="1" outlineLevel="1">
      <c r="A138" s="12"/>
      <c r="B138" s="9" t="s">
        <v>972</v>
      </c>
      <c r="C138" s="10">
        <v>412923.98</v>
      </c>
    </row>
    <row r="139" spans="1:3" ht="69.95" hidden="1" outlineLevel="1">
      <c r="A139" s="12"/>
      <c r="B139" s="9" t="s">
        <v>973</v>
      </c>
      <c r="C139" s="10">
        <v>390649.19</v>
      </c>
    </row>
    <row r="140" spans="1:3" ht="27.95" hidden="1" outlineLevel="1">
      <c r="A140" s="12"/>
      <c r="B140" s="9" t="s">
        <v>974</v>
      </c>
      <c r="C140" s="10">
        <v>389213.78</v>
      </c>
    </row>
    <row r="141" spans="1:3" hidden="1" outlineLevel="1">
      <c r="A141" s="12"/>
      <c r="B141" s="9" t="s">
        <v>975</v>
      </c>
      <c r="C141" s="10">
        <v>376232.06</v>
      </c>
    </row>
    <row r="142" spans="1:3" ht="27.95" hidden="1" outlineLevel="1">
      <c r="A142" s="12"/>
      <c r="B142" s="9" t="s">
        <v>976</v>
      </c>
      <c r="C142" s="10">
        <v>323211.76</v>
      </c>
    </row>
    <row r="143" spans="1:3" ht="27.95" hidden="1" outlineLevel="1">
      <c r="A143" s="12"/>
      <c r="B143" s="9" t="s">
        <v>977</v>
      </c>
      <c r="C143" s="10">
        <v>306562.26</v>
      </c>
    </row>
    <row r="144" spans="1:3" ht="27.95" hidden="1" outlineLevel="1">
      <c r="A144" s="12"/>
      <c r="B144" s="9" t="s">
        <v>978</v>
      </c>
      <c r="C144" s="10">
        <v>302182.65000000002</v>
      </c>
    </row>
    <row r="145" spans="1:3" ht="27.95" hidden="1" outlineLevel="1">
      <c r="A145" s="12"/>
      <c r="B145" s="9" t="s">
        <v>979</v>
      </c>
      <c r="C145" s="10">
        <v>295857.42</v>
      </c>
    </row>
    <row r="146" spans="1:3" ht="27.95" hidden="1" outlineLevel="1">
      <c r="A146" s="12"/>
      <c r="B146" s="9" t="s">
        <v>980</v>
      </c>
      <c r="C146" s="10">
        <v>275434.27</v>
      </c>
    </row>
    <row r="147" spans="1:3" ht="27.95" hidden="1" outlineLevel="1">
      <c r="A147" s="12"/>
      <c r="B147" s="9" t="s">
        <v>981</v>
      </c>
      <c r="C147" s="10">
        <v>262538.28999999998</v>
      </c>
    </row>
    <row r="148" spans="1:3" ht="27.95" hidden="1" outlineLevel="1">
      <c r="A148" s="12"/>
      <c r="B148" s="9" t="s">
        <v>982</v>
      </c>
      <c r="C148" s="10">
        <v>262211.76</v>
      </c>
    </row>
    <row r="149" spans="1:3" ht="27.95" hidden="1" outlineLevel="1">
      <c r="A149" s="12"/>
      <c r="B149" s="9" t="s">
        <v>983</v>
      </c>
      <c r="C149" s="10">
        <v>243836.49</v>
      </c>
    </row>
    <row r="150" spans="1:3" ht="42" hidden="1" outlineLevel="1">
      <c r="A150" s="12"/>
      <c r="B150" s="9" t="s">
        <v>984</v>
      </c>
      <c r="C150" s="10">
        <v>198000</v>
      </c>
    </row>
    <row r="151" spans="1:3" hidden="1" outlineLevel="1">
      <c r="A151" s="12"/>
      <c r="B151" s="9" t="s">
        <v>985</v>
      </c>
      <c r="C151" s="10">
        <v>187808.82</v>
      </c>
    </row>
    <row r="152" spans="1:3" ht="27.95" hidden="1" outlineLevel="1">
      <c r="A152" s="12"/>
      <c r="B152" s="9" t="s">
        <v>986</v>
      </c>
      <c r="C152" s="10">
        <v>177527.14</v>
      </c>
    </row>
    <row r="153" spans="1:3" hidden="1" outlineLevel="1">
      <c r="A153" s="12"/>
      <c r="B153" s="9" t="s">
        <v>987</v>
      </c>
      <c r="C153" s="10">
        <v>167603.20000000001</v>
      </c>
    </row>
    <row r="154" spans="1:3" ht="42" hidden="1" outlineLevel="1">
      <c r="A154" s="12"/>
      <c r="B154" s="9" t="s">
        <v>988</v>
      </c>
      <c r="C154" s="10">
        <v>164436.29999999999</v>
      </c>
    </row>
    <row r="155" spans="1:3" hidden="1" outlineLevel="1">
      <c r="A155" s="12"/>
      <c r="B155" s="9" t="s">
        <v>989</v>
      </c>
      <c r="C155" s="10">
        <v>149480.41</v>
      </c>
    </row>
    <row r="156" spans="1:3" hidden="1" outlineLevel="1">
      <c r="A156" s="12"/>
      <c r="B156" s="9" t="s">
        <v>990</v>
      </c>
      <c r="C156" s="10">
        <v>146436.78</v>
      </c>
    </row>
    <row r="157" spans="1:3" ht="42" hidden="1" outlineLevel="1">
      <c r="A157" s="12"/>
      <c r="B157" s="9" t="s">
        <v>991</v>
      </c>
      <c r="C157" s="10">
        <v>145707.42000000001</v>
      </c>
    </row>
    <row r="158" spans="1:3" hidden="1" outlineLevel="1">
      <c r="A158" s="12"/>
      <c r="B158" s="9" t="s">
        <v>992</v>
      </c>
      <c r="C158" s="10">
        <v>142136.4</v>
      </c>
    </row>
    <row r="159" spans="1:3" ht="27.95" hidden="1" outlineLevel="1">
      <c r="A159" s="12"/>
      <c r="B159" s="9" t="s">
        <v>993</v>
      </c>
      <c r="C159" s="10">
        <v>130245.02</v>
      </c>
    </row>
    <row r="160" spans="1:3" ht="27.95" hidden="1" outlineLevel="1">
      <c r="A160" s="12"/>
      <c r="B160" s="9" t="s">
        <v>994</v>
      </c>
      <c r="C160" s="10">
        <v>117403.38</v>
      </c>
    </row>
    <row r="161" spans="1:3" ht="27.95" hidden="1" outlineLevel="1">
      <c r="A161" s="12"/>
      <c r="B161" s="9" t="s">
        <v>892</v>
      </c>
      <c r="C161" s="10">
        <v>112142.72</v>
      </c>
    </row>
    <row r="162" spans="1:3" ht="27.95" hidden="1" outlineLevel="1">
      <c r="A162" s="12"/>
      <c r="B162" s="9" t="s">
        <v>995</v>
      </c>
      <c r="C162" s="10">
        <v>111785.73000000001</v>
      </c>
    </row>
    <row r="163" spans="1:3" ht="27.95" hidden="1" outlineLevel="1">
      <c r="A163" s="12"/>
      <c r="B163" s="9" t="s">
        <v>996</v>
      </c>
      <c r="C163" s="10">
        <v>90404.01999999999</v>
      </c>
    </row>
    <row r="164" spans="1:3" ht="27.95" hidden="1" outlineLevel="1">
      <c r="A164" s="12"/>
      <c r="B164" s="9" t="s">
        <v>997</v>
      </c>
      <c r="C164" s="10">
        <v>81909.73</v>
      </c>
    </row>
    <row r="165" spans="1:3" ht="27.95" hidden="1" outlineLevel="1">
      <c r="A165" s="12"/>
      <c r="B165" s="9" t="s">
        <v>998</v>
      </c>
      <c r="C165" s="10">
        <v>80838.539999999994</v>
      </c>
    </row>
    <row r="166" spans="1:3" ht="27.95" hidden="1" outlineLevel="1">
      <c r="A166" s="12"/>
      <c r="B166" s="9" t="s">
        <v>999</v>
      </c>
      <c r="C166" s="10">
        <v>75833.34</v>
      </c>
    </row>
    <row r="167" spans="1:3" ht="27.95" hidden="1" outlineLevel="1">
      <c r="A167" s="12"/>
      <c r="B167" s="9" t="s">
        <v>1000</v>
      </c>
      <c r="C167" s="10">
        <v>72452.800000000003</v>
      </c>
    </row>
    <row r="168" spans="1:3" ht="27.95" hidden="1" outlineLevel="1">
      <c r="A168" s="12"/>
      <c r="B168" s="9" t="s">
        <v>1001</v>
      </c>
      <c r="C168" s="10">
        <v>70000</v>
      </c>
    </row>
    <row r="169" spans="1:3" hidden="1" outlineLevel="1">
      <c r="A169" s="12"/>
      <c r="B169" s="9" t="s">
        <v>1002</v>
      </c>
      <c r="C169" s="10">
        <v>69000</v>
      </c>
    </row>
    <row r="170" spans="1:3" ht="27.95" hidden="1" outlineLevel="1">
      <c r="A170" s="12"/>
      <c r="B170" s="9" t="s">
        <v>1003</v>
      </c>
      <c r="C170" s="10">
        <v>60306.65</v>
      </c>
    </row>
    <row r="171" spans="1:3" hidden="1" outlineLevel="1">
      <c r="A171" s="12"/>
      <c r="B171" s="9" t="s">
        <v>1004</v>
      </c>
      <c r="C171" s="10">
        <v>60000</v>
      </c>
    </row>
    <row r="172" spans="1:3" ht="27.95" hidden="1" outlineLevel="1">
      <c r="A172" s="12"/>
      <c r="B172" s="9" t="s">
        <v>1005</v>
      </c>
      <c r="C172" s="10">
        <v>54336.99</v>
      </c>
    </row>
    <row r="173" spans="1:3" ht="27.95" hidden="1" outlineLevel="1">
      <c r="A173" s="12"/>
      <c r="B173" s="9" t="s">
        <v>1006</v>
      </c>
      <c r="C173" s="10">
        <v>52000</v>
      </c>
    </row>
    <row r="174" spans="1:3" ht="27.95" hidden="1" outlineLevel="1">
      <c r="A174" s="12"/>
      <c r="B174" s="9" t="s">
        <v>1007</v>
      </c>
      <c r="C174" s="10">
        <v>46545.62</v>
      </c>
    </row>
    <row r="175" spans="1:3" ht="27.95" hidden="1" outlineLevel="1">
      <c r="A175" s="12"/>
      <c r="B175" s="9" t="s">
        <v>1008</v>
      </c>
      <c r="C175" s="10">
        <v>42858.38</v>
      </c>
    </row>
    <row r="176" spans="1:3" hidden="1" outlineLevel="1">
      <c r="A176" s="12"/>
      <c r="B176" s="9" t="s">
        <v>1009</v>
      </c>
      <c r="C176" s="10">
        <v>41689.800000000003</v>
      </c>
    </row>
    <row r="177" spans="1:3" ht="27.95" hidden="1" outlineLevel="1">
      <c r="A177" s="12"/>
      <c r="B177" s="9" t="s">
        <v>1010</v>
      </c>
      <c r="C177" s="10">
        <v>36249.07</v>
      </c>
    </row>
    <row r="178" spans="1:3" ht="27.95" hidden="1" outlineLevel="1">
      <c r="A178" s="12"/>
      <c r="B178" s="9" t="s">
        <v>1011</v>
      </c>
      <c r="C178" s="10">
        <v>33953.550000000003</v>
      </c>
    </row>
    <row r="179" spans="1:3" ht="27.95" hidden="1" outlineLevel="1">
      <c r="A179" s="12"/>
      <c r="B179" s="9" t="s">
        <v>1012</v>
      </c>
      <c r="C179" s="10">
        <v>28839.7</v>
      </c>
    </row>
    <row r="180" spans="1:3" hidden="1" outlineLevel="1">
      <c r="A180" s="12"/>
      <c r="B180" s="9" t="s">
        <v>1013</v>
      </c>
      <c r="C180" s="10">
        <v>28542.78</v>
      </c>
    </row>
    <row r="181" spans="1:3" hidden="1" outlineLevel="1">
      <c r="A181" s="12"/>
      <c r="B181" s="9" t="s">
        <v>1014</v>
      </c>
      <c r="C181" s="10">
        <v>28000</v>
      </c>
    </row>
    <row r="182" spans="1:3" ht="27.95" hidden="1" outlineLevel="1">
      <c r="A182" s="12"/>
      <c r="B182" s="9" t="s">
        <v>1015</v>
      </c>
      <c r="C182" s="10">
        <v>24877.98</v>
      </c>
    </row>
    <row r="183" spans="1:3" ht="27.95" hidden="1" outlineLevel="1">
      <c r="A183" s="12"/>
      <c r="B183" s="9" t="s">
        <v>1016</v>
      </c>
      <c r="C183" s="10">
        <v>23958.2</v>
      </c>
    </row>
    <row r="184" spans="1:3" ht="27.95" hidden="1" outlineLevel="1">
      <c r="A184" s="12"/>
      <c r="B184" s="9" t="s">
        <v>1017</v>
      </c>
      <c r="C184" s="10">
        <v>22502.55</v>
      </c>
    </row>
    <row r="185" spans="1:3" ht="27.95" hidden="1" outlineLevel="1">
      <c r="A185" s="12"/>
      <c r="B185" s="9" t="s">
        <v>1018</v>
      </c>
      <c r="C185" s="10">
        <v>20818.18</v>
      </c>
    </row>
    <row r="186" spans="1:3" hidden="1" outlineLevel="1">
      <c r="A186" s="12"/>
      <c r="B186" s="9" t="s">
        <v>1019</v>
      </c>
      <c r="C186" s="10">
        <v>20601.12</v>
      </c>
    </row>
    <row r="187" spans="1:3" hidden="1" outlineLevel="1">
      <c r="A187" s="12"/>
      <c r="B187" s="9" t="s">
        <v>1020</v>
      </c>
      <c r="C187" s="10">
        <v>20461.54</v>
      </c>
    </row>
    <row r="188" spans="1:3" ht="27.95" hidden="1" outlineLevel="1">
      <c r="A188" s="12"/>
      <c r="B188" s="9" t="s">
        <v>1021</v>
      </c>
      <c r="C188" s="10">
        <v>18628.57</v>
      </c>
    </row>
    <row r="189" spans="1:3" ht="27.95" hidden="1" outlineLevel="1">
      <c r="A189" s="12"/>
      <c r="B189" s="9" t="s">
        <v>1022</v>
      </c>
      <c r="C189" s="10">
        <v>16883.87</v>
      </c>
    </row>
    <row r="190" spans="1:3" hidden="1" outlineLevel="1">
      <c r="A190" s="12"/>
      <c r="B190" s="9" t="s">
        <v>1023</v>
      </c>
      <c r="C190" s="10">
        <v>16291.949999999999</v>
      </c>
    </row>
    <row r="191" spans="1:3" hidden="1" outlineLevel="1">
      <c r="A191" s="12"/>
      <c r="B191" s="9" t="s">
        <v>917</v>
      </c>
      <c r="C191" s="10">
        <v>16244.41</v>
      </c>
    </row>
    <row r="192" spans="1:3" hidden="1" outlineLevel="1">
      <c r="A192" s="12"/>
      <c r="B192" s="9" t="s">
        <v>1024</v>
      </c>
      <c r="C192" s="10">
        <v>16013.32</v>
      </c>
    </row>
    <row r="193" spans="1:3" ht="27.95" hidden="1" outlineLevel="1">
      <c r="A193" s="12"/>
      <c r="B193" s="9" t="s">
        <v>866</v>
      </c>
      <c r="C193" s="10">
        <v>14841.37</v>
      </c>
    </row>
    <row r="194" spans="1:3" hidden="1" outlineLevel="1">
      <c r="A194" s="12"/>
      <c r="B194" s="9" t="s">
        <v>1025</v>
      </c>
      <c r="C194" s="10">
        <v>12404.06</v>
      </c>
    </row>
    <row r="195" spans="1:3" ht="27.95" hidden="1" outlineLevel="1">
      <c r="A195" s="12"/>
      <c r="B195" s="9" t="s">
        <v>907</v>
      </c>
      <c r="C195" s="10">
        <v>10902.01</v>
      </c>
    </row>
    <row r="196" spans="1:3" hidden="1" outlineLevel="1">
      <c r="A196" s="12"/>
      <c r="B196" s="9" t="s">
        <v>1026</v>
      </c>
      <c r="C196" s="10">
        <v>8691.43</v>
      </c>
    </row>
    <row r="197" spans="1:3" ht="27.95" hidden="1" outlineLevel="1">
      <c r="A197" s="12"/>
      <c r="B197" s="9" t="s">
        <v>1027</v>
      </c>
      <c r="C197" s="10">
        <v>8030.09</v>
      </c>
    </row>
    <row r="198" spans="1:3" ht="27.95" hidden="1" outlineLevel="1">
      <c r="A198" s="12"/>
      <c r="B198" s="9" t="s">
        <v>1028</v>
      </c>
      <c r="C198" s="10">
        <v>7800</v>
      </c>
    </row>
    <row r="199" spans="1:3" hidden="1" outlineLevel="1">
      <c r="A199" s="12"/>
      <c r="B199" s="9" t="s">
        <v>890</v>
      </c>
      <c r="C199" s="10">
        <v>7591.98</v>
      </c>
    </row>
    <row r="200" spans="1:3" ht="27.95" hidden="1" outlineLevel="1">
      <c r="A200" s="12"/>
      <c r="B200" s="9" t="s">
        <v>1029</v>
      </c>
      <c r="C200" s="10">
        <v>7092.18</v>
      </c>
    </row>
    <row r="201" spans="1:3" hidden="1" outlineLevel="1">
      <c r="A201" s="12"/>
      <c r="B201" s="9" t="s">
        <v>1030</v>
      </c>
      <c r="C201" s="10">
        <v>6665.29</v>
      </c>
    </row>
    <row r="202" spans="1:3" hidden="1" outlineLevel="1">
      <c r="A202" s="12"/>
      <c r="B202" s="9" t="s">
        <v>1031</v>
      </c>
      <c r="C202" s="10">
        <v>6000</v>
      </c>
    </row>
    <row r="203" spans="1:3" hidden="1" outlineLevel="1">
      <c r="A203" s="12"/>
      <c r="B203" s="9" t="s">
        <v>1032</v>
      </c>
      <c r="C203" s="10">
        <v>4869.8599999999997</v>
      </c>
    </row>
    <row r="204" spans="1:3" hidden="1" outlineLevel="1">
      <c r="A204" s="12"/>
      <c r="B204" s="9" t="s">
        <v>1033</v>
      </c>
      <c r="C204" s="10">
        <v>4818.18</v>
      </c>
    </row>
    <row r="205" spans="1:3" hidden="1" outlineLevel="1">
      <c r="A205" s="12"/>
      <c r="B205" s="9" t="s">
        <v>1034</v>
      </c>
      <c r="C205" s="10">
        <v>2904.43</v>
      </c>
    </row>
    <row r="206" spans="1:3" ht="27.95" hidden="1" outlineLevel="1">
      <c r="A206" s="12"/>
      <c r="B206" s="9" t="s">
        <v>1035</v>
      </c>
      <c r="C206" s="10">
        <v>2879.74</v>
      </c>
    </row>
    <row r="207" spans="1:3" ht="27.95" hidden="1" outlineLevel="1">
      <c r="A207" s="12"/>
      <c r="B207" s="9" t="s">
        <v>927</v>
      </c>
      <c r="C207" s="10">
        <v>2862.8300000000004</v>
      </c>
    </row>
    <row r="208" spans="1:3" hidden="1" outlineLevel="1">
      <c r="A208" s="12"/>
      <c r="B208" s="9" t="s">
        <v>1036</v>
      </c>
      <c r="C208" s="10">
        <v>2561.8200000000002</v>
      </c>
    </row>
    <row r="209" spans="1:3" hidden="1" outlineLevel="1">
      <c r="A209" s="12"/>
      <c r="B209" s="9" t="s">
        <v>1037</v>
      </c>
      <c r="C209" s="10">
        <v>2400</v>
      </c>
    </row>
    <row r="210" spans="1:3" hidden="1" outlineLevel="1">
      <c r="A210" s="12"/>
      <c r="B210" s="9" t="s">
        <v>910</v>
      </c>
      <c r="C210" s="10">
        <v>2202.46</v>
      </c>
    </row>
    <row r="211" spans="1:3" hidden="1" outlineLevel="1">
      <c r="A211" s="12"/>
      <c r="B211" s="9" t="s">
        <v>931</v>
      </c>
      <c r="C211" s="10">
        <v>2080</v>
      </c>
    </row>
    <row r="212" spans="1:3" hidden="1" outlineLevel="1">
      <c r="A212" s="12"/>
      <c r="B212" s="9" t="s">
        <v>923</v>
      </c>
      <c r="C212" s="10">
        <v>2032.96</v>
      </c>
    </row>
    <row r="213" spans="1:3" hidden="1" outlineLevel="1">
      <c r="A213" s="12"/>
      <c r="B213" s="9" t="s">
        <v>1038</v>
      </c>
      <c r="C213" s="10">
        <v>1827.94</v>
      </c>
    </row>
    <row r="214" spans="1:3" ht="27.95" hidden="1" outlineLevel="1">
      <c r="A214" s="12"/>
      <c r="B214" s="9" t="s">
        <v>1039</v>
      </c>
      <c r="C214" s="10">
        <v>1273.25</v>
      </c>
    </row>
    <row r="215" spans="1:3" hidden="1" outlineLevel="1">
      <c r="A215" s="12"/>
      <c r="B215" s="9" t="s">
        <v>1040</v>
      </c>
      <c r="C215" s="10">
        <v>959.2</v>
      </c>
    </row>
    <row r="216" spans="1:3" hidden="1" outlineLevel="1">
      <c r="A216" s="12"/>
      <c r="B216" s="9" t="s">
        <v>937</v>
      </c>
      <c r="C216" s="10">
        <v>849.98</v>
      </c>
    </row>
    <row r="217" spans="1:3" hidden="1" outlineLevel="1">
      <c r="A217" s="12"/>
      <c r="B217" s="9" t="s">
        <v>1041</v>
      </c>
      <c r="C217" s="10">
        <v>793.44</v>
      </c>
    </row>
    <row r="218" spans="1:3" hidden="1" outlineLevel="1">
      <c r="A218" s="12"/>
      <c r="B218" s="9" t="s">
        <v>930</v>
      </c>
      <c r="C218" s="10">
        <v>728.19</v>
      </c>
    </row>
    <row r="219" spans="1:3" ht="27.95" hidden="1" outlineLevel="1">
      <c r="A219" s="12"/>
      <c r="B219" s="9" t="s">
        <v>945</v>
      </c>
      <c r="C219" s="10">
        <v>584.70000000000005</v>
      </c>
    </row>
    <row r="220" spans="1:3" ht="27.95" hidden="1" outlineLevel="1">
      <c r="A220" s="12"/>
      <c r="B220" s="9" t="s">
        <v>1042</v>
      </c>
      <c r="C220" s="10">
        <v>443.87</v>
      </c>
    </row>
    <row r="221" spans="1:3" ht="27.95" hidden="1" outlineLevel="1">
      <c r="A221" s="12"/>
      <c r="B221" s="9" t="s">
        <v>1043</v>
      </c>
      <c r="C221" s="10">
        <v>266.88</v>
      </c>
    </row>
    <row r="222" spans="1:3" ht="27.95" hidden="1" outlineLevel="1">
      <c r="A222" s="12"/>
      <c r="B222" s="9" t="s">
        <v>1044</v>
      </c>
      <c r="C222" s="10">
        <v>93.5</v>
      </c>
    </row>
    <row r="223" spans="1:3" ht="27.95" hidden="1" outlineLevel="1">
      <c r="A223" s="12"/>
      <c r="B223" s="9" t="s">
        <v>1045</v>
      </c>
      <c r="C223" s="10">
        <v>70</v>
      </c>
    </row>
    <row r="224" spans="1:3" collapsed="1">
      <c r="A224" s="12"/>
      <c r="B224" s="13"/>
      <c r="C224" s="14">
        <f>SUM(C114:C133)</f>
        <v>38037207.239999995</v>
      </c>
    </row>
    <row r="225" spans="1:3">
      <c r="A225" s="12"/>
      <c r="B225" s="9"/>
      <c r="C225" s="10"/>
    </row>
    <row r="226" spans="1:3">
      <c r="A226" s="12"/>
      <c r="B226" s="9" t="s">
        <v>1046</v>
      </c>
      <c r="C226" s="10">
        <v>12411609.390000001</v>
      </c>
    </row>
    <row r="227" spans="1:3" ht="42">
      <c r="A227" s="47" t="s">
        <v>11</v>
      </c>
      <c r="B227" s="9" t="s">
        <v>1047</v>
      </c>
      <c r="C227" s="10">
        <v>7760000</v>
      </c>
    </row>
    <row r="228" spans="1:3" ht="27.95">
      <c r="A228" s="47"/>
      <c r="B228" s="9" t="s">
        <v>1048</v>
      </c>
      <c r="C228" s="10">
        <v>2368900.81</v>
      </c>
    </row>
    <row r="229" spans="1:3">
      <c r="A229" s="47"/>
      <c r="B229" s="9" t="s">
        <v>1049</v>
      </c>
      <c r="C229" s="10">
        <v>2210886.12</v>
      </c>
    </row>
    <row r="230" spans="1:3" ht="27.95">
      <c r="A230" s="47"/>
      <c r="B230" s="9" t="s">
        <v>1050</v>
      </c>
      <c r="C230" s="10">
        <v>2082598.23</v>
      </c>
    </row>
    <row r="231" spans="1:3">
      <c r="A231" s="47"/>
      <c r="B231" s="9" t="s">
        <v>1051</v>
      </c>
      <c r="C231" s="10">
        <v>1770000</v>
      </c>
    </row>
    <row r="232" spans="1:3">
      <c r="A232" s="47"/>
      <c r="B232" s="9" t="s">
        <v>1052</v>
      </c>
      <c r="C232" s="10">
        <v>1204792.81</v>
      </c>
    </row>
    <row r="233" spans="1:3" ht="27.95">
      <c r="A233" s="47"/>
      <c r="B233" s="9" t="s">
        <v>1053</v>
      </c>
      <c r="C233" s="10">
        <v>1047817.79</v>
      </c>
    </row>
    <row r="234" spans="1:3" ht="27.95">
      <c r="A234" s="47"/>
      <c r="B234" s="9" t="s">
        <v>1054</v>
      </c>
      <c r="C234" s="10">
        <v>853869.2</v>
      </c>
    </row>
    <row r="235" spans="1:3" ht="27.95">
      <c r="A235" s="47"/>
      <c r="B235" s="9" t="s">
        <v>1055</v>
      </c>
      <c r="C235" s="10">
        <v>593028.49</v>
      </c>
    </row>
    <row r="236" spans="1:3" ht="27.95">
      <c r="A236" s="47"/>
      <c r="B236" s="9" t="s">
        <v>1056</v>
      </c>
      <c r="C236" s="10">
        <v>566090.80000000005</v>
      </c>
    </row>
    <row r="237" spans="1:3" ht="27.95">
      <c r="A237" s="47"/>
      <c r="B237" s="9" t="s">
        <v>1057</v>
      </c>
      <c r="C237" s="10">
        <v>520654.1</v>
      </c>
    </row>
    <row r="238" spans="1:3" ht="27.95">
      <c r="A238" s="47"/>
      <c r="B238" s="9" t="s">
        <v>1058</v>
      </c>
      <c r="C238" s="10">
        <v>503690.7</v>
      </c>
    </row>
    <row r="239" spans="1:3" ht="27.95">
      <c r="A239" s="47"/>
      <c r="B239" s="9" t="s">
        <v>1059</v>
      </c>
      <c r="C239" s="10">
        <v>387620.96</v>
      </c>
    </row>
    <row r="240" spans="1:3" ht="27.95">
      <c r="A240" s="47"/>
      <c r="B240" s="9" t="s">
        <v>1060</v>
      </c>
      <c r="C240" s="10">
        <v>385340.95</v>
      </c>
    </row>
    <row r="241" spans="1:3" ht="27.95">
      <c r="A241" s="47"/>
      <c r="B241" s="9" t="s">
        <v>1010</v>
      </c>
      <c r="C241" s="10">
        <v>362490.74</v>
      </c>
    </row>
    <row r="242" spans="1:3" ht="42">
      <c r="A242" s="47"/>
      <c r="B242" s="9" t="s">
        <v>1061</v>
      </c>
      <c r="C242" s="10">
        <v>332425.09000000003</v>
      </c>
    </row>
    <row r="243" spans="1:3" ht="27.95">
      <c r="A243" s="47"/>
      <c r="B243" s="9" t="s">
        <v>1062</v>
      </c>
      <c r="C243" s="10">
        <v>330174.40000000002</v>
      </c>
    </row>
    <row r="244" spans="1:3" ht="27.95">
      <c r="A244" s="47"/>
      <c r="B244" s="9" t="s">
        <v>1063</v>
      </c>
      <c r="C244" s="10">
        <v>325315.51</v>
      </c>
    </row>
    <row r="245" spans="1:3" ht="27.95">
      <c r="A245" s="47"/>
      <c r="B245" s="9" t="s">
        <v>1064</v>
      </c>
      <c r="C245" s="10">
        <v>240106.32</v>
      </c>
    </row>
    <row r="246" spans="1:3" ht="27.95" hidden="1" outlineLevel="1">
      <c r="A246" s="12"/>
      <c r="B246" s="9" t="s">
        <v>1065</v>
      </c>
      <c r="C246" s="10">
        <v>221448.71</v>
      </c>
    </row>
    <row r="247" spans="1:3" ht="27.95" hidden="1" outlineLevel="1">
      <c r="A247" s="12"/>
      <c r="B247" s="9" t="s">
        <v>1066</v>
      </c>
      <c r="C247" s="10">
        <v>212992.31</v>
      </c>
    </row>
    <row r="248" spans="1:3" ht="27.95" hidden="1" outlineLevel="1">
      <c r="A248" s="12"/>
      <c r="B248" s="9" t="s">
        <v>1067</v>
      </c>
      <c r="C248" s="10">
        <v>210108.79999999999</v>
      </c>
    </row>
    <row r="249" spans="1:3" ht="27.95" hidden="1" outlineLevel="1">
      <c r="A249" s="12"/>
      <c r="B249" s="9" t="s">
        <v>1068</v>
      </c>
      <c r="C249" s="10">
        <v>205533.96</v>
      </c>
    </row>
    <row r="250" spans="1:3" ht="27.95" hidden="1" outlineLevel="1">
      <c r="A250" s="12"/>
      <c r="B250" s="9" t="s">
        <v>1069</v>
      </c>
      <c r="C250" s="10">
        <v>199353.37</v>
      </c>
    </row>
    <row r="251" spans="1:3" hidden="1" outlineLevel="1">
      <c r="A251" s="12"/>
      <c r="B251" s="9" t="s">
        <v>1070</v>
      </c>
      <c r="C251" s="10">
        <v>196973.7</v>
      </c>
    </row>
    <row r="252" spans="1:3" ht="27.95" hidden="1" outlineLevel="1">
      <c r="A252" s="12"/>
      <c r="B252" s="9" t="s">
        <v>1071</v>
      </c>
      <c r="C252" s="10">
        <v>181419.22999999998</v>
      </c>
    </row>
    <row r="253" spans="1:3" hidden="1" outlineLevel="1">
      <c r="A253" s="12"/>
      <c r="B253" s="9" t="s">
        <v>1072</v>
      </c>
      <c r="C253" s="10">
        <v>169291.66</v>
      </c>
    </row>
    <row r="254" spans="1:3" ht="27.95" hidden="1" outlineLevel="1">
      <c r="A254" s="12"/>
      <c r="B254" s="9" t="s">
        <v>1073</v>
      </c>
      <c r="C254" s="10">
        <v>163664.25</v>
      </c>
    </row>
    <row r="255" spans="1:3" ht="27.95" hidden="1" outlineLevel="1">
      <c r="A255" s="12"/>
      <c r="B255" s="9" t="s">
        <v>1074</v>
      </c>
      <c r="C255" s="10">
        <v>158130.16</v>
      </c>
    </row>
    <row r="256" spans="1:3" ht="42" hidden="1" outlineLevel="1">
      <c r="A256" s="12"/>
      <c r="B256" s="9" t="s">
        <v>1075</v>
      </c>
      <c r="C256" s="10">
        <v>157581.24</v>
      </c>
    </row>
    <row r="257" spans="1:3" ht="27.95" hidden="1" outlineLevel="1">
      <c r="A257" s="12"/>
      <c r="B257" s="9" t="s">
        <v>1076</v>
      </c>
      <c r="C257" s="10">
        <v>156000</v>
      </c>
    </row>
    <row r="258" spans="1:3" ht="27.95" hidden="1" outlineLevel="1">
      <c r="A258" s="12"/>
      <c r="B258" s="9" t="s">
        <v>1077</v>
      </c>
      <c r="C258" s="10">
        <v>140806.54</v>
      </c>
    </row>
    <row r="259" spans="1:3" ht="27.95" hidden="1" outlineLevel="1">
      <c r="A259" s="12"/>
      <c r="B259" s="9" t="s">
        <v>1078</v>
      </c>
      <c r="C259" s="10">
        <v>131439.16</v>
      </c>
    </row>
    <row r="260" spans="1:3" ht="27.95" hidden="1" outlineLevel="1">
      <c r="A260" s="12"/>
      <c r="B260" s="9" t="s">
        <v>998</v>
      </c>
      <c r="C260" s="10">
        <v>121257.81</v>
      </c>
    </row>
    <row r="261" spans="1:3" ht="27.95" hidden="1" outlineLevel="1">
      <c r="A261" s="12"/>
      <c r="B261" s="9" t="s">
        <v>994</v>
      </c>
      <c r="C261" s="10">
        <v>117403.38</v>
      </c>
    </row>
    <row r="262" spans="1:3" ht="56.1" hidden="1" outlineLevel="1">
      <c r="A262" s="12"/>
      <c r="B262" s="9" t="s">
        <v>1079</v>
      </c>
      <c r="C262" s="10">
        <v>110000</v>
      </c>
    </row>
    <row r="263" spans="1:3" ht="27.95" hidden="1" outlineLevel="1">
      <c r="A263" s="12"/>
      <c r="B263" s="9" t="s">
        <v>1080</v>
      </c>
      <c r="C263" s="10">
        <v>99000</v>
      </c>
    </row>
    <row r="264" spans="1:3" ht="27.95" hidden="1" outlineLevel="1">
      <c r="A264" s="12"/>
      <c r="B264" s="9" t="s">
        <v>1081</v>
      </c>
      <c r="C264" s="10">
        <v>97183.58</v>
      </c>
    </row>
    <row r="265" spans="1:3" ht="27.95" hidden="1" outlineLevel="1">
      <c r="A265" s="12"/>
      <c r="B265" s="9" t="s">
        <v>1082</v>
      </c>
      <c r="C265" s="10">
        <v>96556.37</v>
      </c>
    </row>
    <row r="266" spans="1:3" ht="27.95" hidden="1" outlineLevel="1">
      <c r="A266" s="12"/>
      <c r="B266" s="9" t="s">
        <v>1083</v>
      </c>
      <c r="C266" s="10">
        <v>95633.4</v>
      </c>
    </row>
    <row r="267" spans="1:3" ht="27.95" hidden="1" outlineLevel="1">
      <c r="A267" s="12"/>
      <c r="B267" s="9" t="s">
        <v>1084</v>
      </c>
      <c r="C267" s="10">
        <v>73221.19</v>
      </c>
    </row>
    <row r="268" spans="1:3" ht="27.95" hidden="1" outlineLevel="1">
      <c r="A268" s="12"/>
      <c r="B268" s="9" t="s">
        <v>1085</v>
      </c>
      <c r="C268" s="10">
        <v>72070.84</v>
      </c>
    </row>
    <row r="269" spans="1:3" hidden="1" outlineLevel="1">
      <c r="A269" s="12"/>
      <c r="B269" s="9" t="s">
        <v>1086</v>
      </c>
      <c r="C269" s="10">
        <v>70204.259999999995</v>
      </c>
    </row>
    <row r="270" spans="1:3" ht="27.95" hidden="1" outlineLevel="1">
      <c r="A270" s="12"/>
      <c r="B270" s="9" t="s">
        <v>1087</v>
      </c>
      <c r="C270" s="10">
        <v>69657.56</v>
      </c>
    </row>
    <row r="271" spans="1:3" ht="42" hidden="1" outlineLevel="1">
      <c r="A271" s="12"/>
      <c r="B271" s="9" t="s">
        <v>1088</v>
      </c>
      <c r="C271" s="10">
        <v>62869.45</v>
      </c>
    </row>
    <row r="272" spans="1:3" ht="27.95" hidden="1" outlineLevel="1">
      <c r="A272" s="12"/>
      <c r="B272" s="9" t="s">
        <v>1089</v>
      </c>
      <c r="C272" s="10">
        <v>57277.919999999998</v>
      </c>
    </row>
    <row r="273" spans="1:3" ht="27.95" hidden="1" outlineLevel="1">
      <c r="A273" s="12"/>
      <c r="B273" s="9" t="s">
        <v>1090</v>
      </c>
      <c r="C273" s="10">
        <v>57024.97</v>
      </c>
    </row>
    <row r="274" spans="1:3" ht="56.1" hidden="1" outlineLevel="1">
      <c r="A274" s="12"/>
      <c r="B274" s="9" t="s">
        <v>1091</v>
      </c>
      <c r="C274" s="10">
        <v>53811.44</v>
      </c>
    </row>
    <row r="275" spans="1:3" ht="27.95" hidden="1" outlineLevel="1">
      <c r="A275" s="12"/>
      <c r="B275" s="9" t="s">
        <v>976</v>
      </c>
      <c r="C275" s="10">
        <v>49724.89</v>
      </c>
    </row>
    <row r="276" spans="1:3" ht="27.95" hidden="1" outlineLevel="1">
      <c r="A276" s="12"/>
      <c r="B276" s="9" t="s">
        <v>1092</v>
      </c>
      <c r="C276" s="10">
        <v>47979.85</v>
      </c>
    </row>
    <row r="277" spans="1:3" hidden="1" outlineLevel="1">
      <c r="A277" s="12"/>
      <c r="B277" s="9" t="s">
        <v>1093</v>
      </c>
      <c r="C277" s="10">
        <v>47262.61</v>
      </c>
    </row>
    <row r="278" spans="1:3" hidden="1" outlineLevel="1">
      <c r="A278" s="12"/>
      <c r="B278" s="9" t="s">
        <v>1094</v>
      </c>
      <c r="C278" s="10">
        <v>42849.66</v>
      </c>
    </row>
    <row r="279" spans="1:3" hidden="1" outlineLevel="1">
      <c r="A279" s="12"/>
      <c r="B279" s="9" t="s">
        <v>1095</v>
      </c>
      <c r="C279" s="10">
        <v>41330.75</v>
      </c>
    </row>
    <row r="280" spans="1:3" ht="27.95" hidden="1" outlineLevel="1">
      <c r="A280" s="12"/>
      <c r="B280" s="9" t="s">
        <v>1096</v>
      </c>
      <c r="C280" s="10">
        <v>39032.239999999998</v>
      </c>
    </row>
    <row r="281" spans="1:3" ht="27.95" hidden="1" outlineLevel="1">
      <c r="A281" s="12"/>
      <c r="B281" s="9" t="s">
        <v>1097</v>
      </c>
      <c r="C281" s="10">
        <v>39000</v>
      </c>
    </row>
    <row r="282" spans="1:3" ht="27.95" hidden="1" outlineLevel="1">
      <c r="A282" s="12"/>
      <c r="B282" s="9" t="s">
        <v>1098</v>
      </c>
      <c r="C282" s="10">
        <v>33942.9</v>
      </c>
    </row>
    <row r="283" spans="1:3" ht="27.95" hidden="1" outlineLevel="1">
      <c r="A283" s="12"/>
      <c r="B283" s="9" t="s">
        <v>1099</v>
      </c>
      <c r="C283" s="10">
        <v>32846.94</v>
      </c>
    </row>
    <row r="284" spans="1:3" ht="27.95" hidden="1" outlineLevel="1">
      <c r="A284" s="12"/>
      <c r="B284" s="9" t="s">
        <v>1100</v>
      </c>
      <c r="C284" s="10">
        <v>32139.69</v>
      </c>
    </row>
    <row r="285" spans="1:3" ht="27.95" hidden="1" outlineLevel="1">
      <c r="A285" s="12"/>
      <c r="B285" s="9" t="s">
        <v>1101</v>
      </c>
      <c r="C285" s="10">
        <v>31017.87</v>
      </c>
    </row>
    <row r="286" spans="1:3" ht="27.95" hidden="1" outlineLevel="1">
      <c r="A286" s="12"/>
      <c r="B286" s="9" t="s">
        <v>999</v>
      </c>
      <c r="C286" s="10">
        <v>30333.33</v>
      </c>
    </row>
    <row r="287" spans="1:3" ht="27.95" hidden="1" outlineLevel="1">
      <c r="A287" s="12"/>
      <c r="B287" s="9" t="s">
        <v>1102</v>
      </c>
      <c r="C287" s="10">
        <v>26300.720000000001</v>
      </c>
    </row>
    <row r="288" spans="1:3" ht="27.95" hidden="1" outlineLevel="1">
      <c r="A288" s="12"/>
      <c r="B288" s="9" t="s">
        <v>1103</v>
      </c>
      <c r="C288" s="10">
        <v>25024.69</v>
      </c>
    </row>
    <row r="289" spans="1:3" ht="27.95" hidden="1" outlineLevel="1">
      <c r="A289" s="12"/>
      <c r="B289" s="9" t="s">
        <v>1104</v>
      </c>
      <c r="C289" s="10">
        <v>23037.64</v>
      </c>
    </row>
    <row r="290" spans="1:3" hidden="1" outlineLevel="1">
      <c r="A290" s="12"/>
      <c r="B290" s="9" t="s">
        <v>1105</v>
      </c>
      <c r="C290" s="10">
        <v>21208.32</v>
      </c>
    </row>
    <row r="291" spans="1:3" hidden="1" outlineLevel="1">
      <c r="A291" s="12"/>
      <c r="B291" s="9" t="s">
        <v>1106</v>
      </c>
      <c r="C291" s="10">
        <v>20656.53</v>
      </c>
    </row>
    <row r="292" spans="1:3" ht="27.95" hidden="1" outlineLevel="1">
      <c r="A292" s="12"/>
      <c r="B292" s="9" t="s">
        <v>1107</v>
      </c>
      <c r="C292" s="10">
        <v>20572.449999999997</v>
      </c>
    </row>
    <row r="293" spans="1:3" ht="27.95" hidden="1" outlineLevel="1">
      <c r="A293" s="12"/>
      <c r="B293" s="9" t="s">
        <v>1042</v>
      </c>
      <c r="C293" s="10">
        <v>19974.150000000001</v>
      </c>
    </row>
    <row r="294" spans="1:3" ht="27.95" hidden="1" outlineLevel="1">
      <c r="A294" s="12"/>
      <c r="B294" s="9" t="s">
        <v>1108</v>
      </c>
      <c r="C294" s="10">
        <v>19411.09</v>
      </c>
    </row>
    <row r="295" spans="1:3" hidden="1" outlineLevel="1">
      <c r="A295" s="12"/>
      <c r="B295" s="9" t="s">
        <v>1109</v>
      </c>
      <c r="C295" s="10">
        <v>18880.39</v>
      </c>
    </row>
    <row r="296" spans="1:3" ht="27.95" hidden="1" outlineLevel="1">
      <c r="A296" s="12"/>
      <c r="B296" s="9" t="s">
        <v>1110</v>
      </c>
      <c r="C296" s="10">
        <v>18398.8</v>
      </c>
    </row>
    <row r="297" spans="1:3" ht="27.95" hidden="1" outlineLevel="1">
      <c r="A297" s="12"/>
      <c r="B297" s="9" t="s">
        <v>1111</v>
      </c>
      <c r="C297" s="10">
        <v>16714.759999999998</v>
      </c>
    </row>
    <row r="298" spans="1:3" ht="27.95" hidden="1" outlineLevel="1">
      <c r="A298" s="12"/>
      <c r="B298" s="9" t="s">
        <v>1112</v>
      </c>
      <c r="C298" s="10">
        <v>16645.28</v>
      </c>
    </row>
    <row r="299" spans="1:3" ht="27.95" hidden="1" outlineLevel="1">
      <c r="A299" s="12"/>
      <c r="B299" s="9" t="s">
        <v>1113</v>
      </c>
      <c r="C299" s="10">
        <v>16226.91</v>
      </c>
    </row>
    <row r="300" spans="1:3" hidden="1" outlineLevel="1">
      <c r="A300" s="12"/>
      <c r="B300" s="9" t="s">
        <v>1114</v>
      </c>
      <c r="C300" s="10">
        <v>15004.41</v>
      </c>
    </row>
    <row r="301" spans="1:3" hidden="1" outlineLevel="1">
      <c r="A301" s="12"/>
      <c r="B301" s="9" t="s">
        <v>1115</v>
      </c>
      <c r="C301" s="10">
        <v>13336.94</v>
      </c>
    </row>
    <row r="302" spans="1:3" hidden="1" outlineLevel="1">
      <c r="A302" s="12"/>
      <c r="B302" s="9" t="s">
        <v>1116</v>
      </c>
      <c r="C302" s="10">
        <v>11618</v>
      </c>
    </row>
    <row r="303" spans="1:3" ht="27.95" hidden="1" outlineLevel="1">
      <c r="A303" s="12"/>
      <c r="B303" s="9" t="s">
        <v>1117</v>
      </c>
      <c r="C303" s="10">
        <v>11400</v>
      </c>
    </row>
    <row r="304" spans="1:3" ht="27.95" hidden="1" outlineLevel="1">
      <c r="A304" s="12"/>
      <c r="B304" s="9" t="s">
        <v>1011</v>
      </c>
      <c r="C304" s="10">
        <v>11317.85</v>
      </c>
    </row>
    <row r="305" spans="1:3" ht="27.95" hidden="1" outlineLevel="1">
      <c r="A305" s="12"/>
      <c r="B305" s="9" t="s">
        <v>1118</v>
      </c>
      <c r="C305" s="10">
        <v>10644.64</v>
      </c>
    </row>
    <row r="306" spans="1:3" ht="69.95" hidden="1" outlineLevel="1">
      <c r="A306" s="12"/>
      <c r="B306" s="9" t="s">
        <v>1119</v>
      </c>
      <c r="C306" s="10">
        <v>10000</v>
      </c>
    </row>
    <row r="307" spans="1:3" hidden="1" outlineLevel="1">
      <c r="A307" s="12"/>
      <c r="B307" s="9" t="s">
        <v>1120</v>
      </c>
      <c r="C307" s="10">
        <v>9682.75</v>
      </c>
    </row>
    <row r="308" spans="1:3" ht="27.95" hidden="1" outlineLevel="1">
      <c r="A308" s="12"/>
      <c r="B308" s="9" t="s">
        <v>1121</v>
      </c>
      <c r="C308" s="10">
        <v>9096.25</v>
      </c>
    </row>
    <row r="309" spans="1:3" ht="27.95" hidden="1" outlineLevel="1">
      <c r="A309" s="12"/>
      <c r="B309" s="9" t="s">
        <v>1122</v>
      </c>
      <c r="C309" s="10">
        <v>8956.32</v>
      </c>
    </row>
    <row r="310" spans="1:3" ht="27.95" hidden="1" outlineLevel="1">
      <c r="A310" s="12"/>
      <c r="B310" s="9" t="s">
        <v>1123</v>
      </c>
      <c r="C310" s="10">
        <v>8718.43</v>
      </c>
    </row>
    <row r="311" spans="1:3" ht="56.1" hidden="1" outlineLevel="1">
      <c r="A311" s="12"/>
      <c r="B311" s="9" t="s">
        <v>1124</v>
      </c>
      <c r="C311" s="10">
        <v>7318.19</v>
      </c>
    </row>
    <row r="312" spans="1:3" hidden="1" outlineLevel="1">
      <c r="A312" s="12"/>
      <c r="B312" s="9" t="s">
        <v>1125</v>
      </c>
      <c r="C312" s="10">
        <v>6000</v>
      </c>
    </row>
    <row r="313" spans="1:3" hidden="1" outlineLevel="1">
      <c r="A313" s="12"/>
      <c r="B313" s="9" t="s">
        <v>1126</v>
      </c>
      <c r="C313" s="10">
        <v>6000</v>
      </c>
    </row>
    <row r="314" spans="1:3" hidden="1" outlineLevel="1">
      <c r="A314" s="12"/>
      <c r="B314" s="9" t="s">
        <v>1127</v>
      </c>
      <c r="C314" s="10">
        <v>5529.96</v>
      </c>
    </row>
    <row r="315" spans="1:3" hidden="1" outlineLevel="1">
      <c r="A315" s="12"/>
      <c r="B315" s="9" t="s">
        <v>1128</v>
      </c>
      <c r="C315" s="10">
        <v>5107.6900000000005</v>
      </c>
    </row>
    <row r="316" spans="1:3" ht="27.95" hidden="1" outlineLevel="1">
      <c r="A316" s="12"/>
      <c r="B316" s="9" t="s">
        <v>1129</v>
      </c>
      <c r="C316" s="10">
        <v>5008.9600000000009</v>
      </c>
    </row>
    <row r="317" spans="1:3" hidden="1" outlineLevel="1">
      <c r="A317" s="12"/>
      <c r="B317" s="9" t="s">
        <v>1130</v>
      </c>
      <c r="C317" s="10">
        <v>4582.41</v>
      </c>
    </row>
    <row r="318" spans="1:3" ht="27.95" hidden="1" outlineLevel="1">
      <c r="A318" s="12"/>
      <c r="B318" s="9" t="s">
        <v>1131</v>
      </c>
      <c r="C318" s="10">
        <v>4375</v>
      </c>
    </row>
    <row r="319" spans="1:3" ht="27.95" hidden="1" outlineLevel="1">
      <c r="A319" s="12"/>
      <c r="B319" s="9" t="s">
        <v>1132</v>
      </c>
      <c r="C319" s="10">
        <v>4001.1</v>
      </c>
    </row>
    <row r="320" spans="1:3" ht="27.95" hidden="1" outlineLevel="1">
      <c r="A320" s="12"/>
      <c r="B320" s="9" t="s">
        <v>1133</v>
      </c>
      <c r="C320" s="10">
        <v>3984.75</v>
      </c>
    </row>
    <row r="321" spans="1:3" ht="27.95" hidden="1" outlineLevel="1">
      <c r="A321" s="12"/>
      <c r="B321" s="9" t="s">
        <v>1134</v>
      </c>
      <c r="C321" s="10">
        <v>3721.75</v>
      </c>
    </row>
    <row r="322" spans="1:3" ht="27.95" hidden="1" outlineLevel="1">
      <c r="A322" s="12"/>
      <c r="B322" s="9" t="s">
        <v>1135</v>
      </c>
      <c r="C322" s="10">
        <v>3434.73</v>
      </c>
    </row>
    <row r="323" spans="1:3" ht="27.95" hidden="1" outlineLevel="1">
      <c r="A323" s="12"/>
      <c r="B323" s="9" t="s">
        <v>1136</v>
      </c>
      <c r="C323" s="10">
        <v>3147.62</v>
      </c>
    </row>
    <row r="324" spans="1:3" ht="42" hidden="1" outlineLevel="1">
      <c r="A324" s="12"/>
      <c r="B324" s="9" t="s">
        <v>1137</v>
      </c>
      <c r="C324" s="10">
        <v>3118.62</v>
      </c>
    </row>
    <row r="325" spans="1:3" hidden="1" outlineLevel="1">
      <c r="A325" s="12"/>
      <c r="B325" s="9" t="s">
        <v>1138</v>
      </c>
      <c r="C325" s="10">
        <v>3060.86</v>
      </c>
    </row>
    <row r="326" spans="1:3" ht="27.95" hidden="1" outlineLevel="1">
      <c r="A326" s="12"/>
      <c r="B326" s="9" t="s">
        <v>1139</v>
      </c>
      <c r="C326" s="10">
        <v>2983.33</v>
      </c>
    </row>
    <row r="327" spans="1:3" ht="27.95" hidden="1" outlineLevel="1">
      <c r="A327" s="12"/>
      <c r="B327" s="9" t="s">
        <v>1140</v>
      </c>
      <c r="C327" s="10">
        <v>2947.56</v>
      </c>
    </row>
    <row r="328" spans="1:3" hidden="1" outlineLevel="1">
      <c r="A328" s="12"/>
      <c r="B328" s="9" t="s">
        <v>1141</v>
      </c>
      <c r="C328" s="10">
        <v>2888.52</v>
      </c>
    </row>
    <row r="329" spans="1:3" ht="27.95" hidden="1" outlineLevel="1">
      <c r="A329" s="12"/>
      <c r="B329" s="9" t="s">
        <v>927</v>
      </c>
      <c r="C329" s="10">
        <v>2858.67</v>
      </c>
    </row>
    <row r="330" spans="1:3" ht="27.95" hidden="1" outlineLevel="1">
      <c r="A330" s="12"/>
      <c r="B330" s="9" t="s">
        <v>1142</v>
      </c>
      <c r="C330" s="10">
        <v>2700</v>
      </c>
    </row>
    <row r="331" spans="1:3" ht="27.95" hidden="1" outlineLevel="1">
      <c r="A331" s="12"/>
      <c r="B331" s="9" t="s">
        <v>1143</v>
      </c>
      <c r="C331" s="10">
        <v>2535.38</v>
      </c>
    </row>
    <row r="332" spans="1:3" hidden="1" outlineLevel="1">
      <c r="A332" s="12"/>
      <c r="B332" s="9" t="s">
        <v>890</v>
      </c>
      <c r="C332" s="10">
        <v>2521</v>
      </c>
    </row>
    <row r="333" spans="1:3" ht="27.95" hidden="1" outlineLevel="1">
      <c r="A333" s="12"/>
      <c r="B333" s="9" t="s">
        <v>1144</v>
      </c>
      <c r="C333" s="10">
        <v>2480.89</v>
      </c>
    </row>
    <row r="334" spans="1:3" hidden="1" outlineLevel="1">
      <c r="A334" s="12"/>
      <c r="B334" s="9" t="s">
        <v>1025</v>
      </c>
      <c r="C334" s="10">
        <v>2480.81</v>
      </c>
    </row>
    <row r="335" spans="1:3" hidden="1" outlineLevel="1">
      <c r="A335" s="12"/>
      <c r="B335" s="9" t="s">
        <v>1145</v>
      </c>
      <c r="C335" s="10">
        <v>2385.06</v>
      </c>
    </row>
    <row r="336" spans="1:3" hidden="1" outlineLevel="1">
      <c r="A336" s="12"/>
      <c r="B336" s="9" t="s">
        <v>1146</v>
      </c>
      <c r="C336" s="10">
        <v>2379.8000000000002</v>
      </c>
    </row>
    <row r="337" spans="1:3" hidden="1" outlineLevel="1">
      <c r="A337" s="12"/>
      <c r="B337" s="9" t="s">
        <v>1147</v>
      </c>
      <c r="C337" s="10">
        <v>2154.62</v>
      </c>
    </row>
    <row r="338" spans="1:3" ht="27.95" hidden="1" outlineLevel="1">
      <c r="A338" s="12"/>
      <c r="B338" s="9" t="s">
        <v>1148</v>
      </c>
      <c r="C338" s="10">
        <v>1967.59</v>
      </c>
    </row>
    <row r="339" spans="1:3" hidden="1" outlineLevel="1">
      <c r="A339" s="12"/>
      <c r="B339" s="9" t="s">
        <v>1149</v>
      </c>
      <c r="C339" s="10">
        <v>1847.37</v>
      </c>
    </row>
    <row r="340" spans="1:3" ht="27.95" hidden="1" outlineLevel="1">
      <c r="A340" s="12"/>
      <c r="B340" s="9" t="s">
        <v>1150</v>
      </c>
      <c r="C340" s="10">
        <v>1612.93</v>
      </c>
    </row>
    <row r="341" spans="1:3" hidden="1" outlineLevel="1">
      <c r="A341" s="12"/>
      <c r="B341" s="9" t="s">
        <v>1151</v>
      </c>
      <c r="C341" s="10">
        <v>1600</v>
      </c>
    </row>
    <row r="342" spans="1:3" ht="27.95" hidden="1" outlineLevel="1">
      <c r="A342" s="12"/>
      <c r="B342" s="9" t="s">
        <v>1152</v>
      </c>
      <c r="C342" s="10">
        <v>1596.48</v>
      </c>
    </row>
    <row r="343" spans="1:3" hidden="1" outlineLevel="1">
      <c r="A343" s="12"/>
      <c r="B343" s="9" t="s">
        <v>1153</v>
      </c>
      <c r="C343" s="10">
        <v>1516.98</v>
      </c>
    </row>
    <row r="344" spans="1:3" ht="27.95" hidden="1" outlineLevel="1">
      <c r="A344" s="12"/>
      <c r="B344" s="9" t="s">
        <v>1154</v>
      </c>
      <c r="C344" s="10">
        <v>1500</v>
      </c>
    </row>
    <row r="345" spans="1:3" ht="27.95" hidden="1" outlineLevel="1">
      <c r="A345" s="12"/>
      <c r="B345" s="9" t="s">
        <v>1155</v>
      </c>
      <c r="C345" s="10">
        <v>1411.66</v>
      </c>
    </row>
    <row r="346" spans="1:3" hidden="1" outlineLevel="1">
      <c r="A346" s="12"/>
      <c r="B346" s="9" t="s">
        <v>1156</v>
      </c>
      <c r="C346" s="10">
        <v>1385.04</v>
      </c>
    </row>
    <row r="347" spans="1:3" ht="27.95" hidden="1" outlineLevel="1">
      <c r="A347" s="12"/>
      <c r="B347" s="9" t="s">
        <v>1157</v>
      </c>
      <c r="C347" s="10">
        <v>1228.92</v>
      </c>
    </row>
    <row r="348" spans="1:3" ht="27.95" hidden="1" outlineLevel="1">
      <c r="A348" s="12"/>
      <c r="B348" s="9" t="s">
        <v>1158</v>
      </c>
      <c r="C348" s="10">
        <v>1050.0999999999999</v>
      </c>
    </row>
    <row r="349" spans="1:3" ht="27.95" hidden="1" outlineLevel="1">
      <c r="A349" s="12"/>
      <c r="B349" s="9" t="s">
        <v>1159</v>
      </c>
      <c r="C349" s="10">
        <v>957.44</v>
      </c>
    </row>
    <row r="350" spans="1:3" hidden="1" outlineLevel="1">
      <c r="A350" s="12"/>
      <c r="B350" s="9" t="s">
        <v>1160</v>
      </c>
      <c r="C350" s="10">
        <v>953.82</v>
      </c>
    </row>
    <row r="351" spans="1:3" hidden="1" outlineLevel="1">
      <c r="A351" s="12"/>
      <c r="B351" s="9" t="s">
        <v>1161</v>
      </c>
      <c r="C351" s="10">
        <v>900.58</v>
      </c>
    </row>
    <row r="352" spans="1:3" hidden="1" outlineLevel="1">
      <c r="A352" s="12"/>
      <c r="B352" s="9" t="s">
        <v>937</v>
      </c>
      <c r="C352" s="10">
        <v>849.98</v>
      </c>
    </row>
    <row r="353" spans="1:3" hidden="1" outlineLevel="1">
      <c r="A353" s="12"/>
      <c r="B353" s="9" t="s">
        <v>913</v>
      </c>
      <c r="C353" s="10">
        <v>822.58</v>
      </c>
    </row>
    <row r="354" spans="1:3" hidden="1" outlineLevel="1">
      <c r="A354" s="12"/>
      <c r="B354" s="9" t="s">
        <v>930</v>
      </c>
      <c r="C354" s="10">
        <v>728.18</v>
      </c>
    </row>
    <row r="355" spans="1:3" ht="42" hidden="1" outlineLevel="1">
      <c r="A355" s="12"/>
      <c r="B355" s="9" t="s">
        <v>1162</v>
      </c>
      <c r="C355" s="10">
        <v>700</v>
      </c>
    </row>
    <row r="356" spans="1:3" ht="27.95" hidden="1" outlineLevel="1">
      <c r="A356" s="12"/>
      <c r="B356" s="9" t="s">
        <v>1163</v>
      </c>
      <c r="C356" s="10">
        <v>626.75</v>
      </c>
    </row>
    <row r="357" spans="1:3" hidden="1" outlineLevel="1">
      <c r="A357" s="12"/>
      <c r="B357" s="9" t="s">
        <v>1164</v>
      </c>
      <c r="C357" s="10">
        <v>534.1</v>
      </c>
    </row>
    <row r="358" spans="1:3" ht="27.95" hidden="1" outlineLevel="1">
      <c r="A358" s="12"/>
      <c r="B358" s="9" t="s">
        <v>1165</v>
      </c>
      <c r="C358" s="10">
        <v>513.66</v>
      </c>
    </row>
    <row r="359" spans="1:3" hidden="1" outlineLevel="1">
      <c r="A359" s="12"/>
      <c r="B359" s="9" t="s">
        <v>1166</v>
      </c>
      <c r="C359" s="10">
        <v>500</v>
      </c>
    </row>
    <row r="360" spans="1:3" ht="27.95" hidden="1" outlineLevel="1">
      <c r="A360" s="12"/>
      <c r="B360" s="9" t="s">
        <v>1167</v>
      </c>
      <c r="C360" s="10">
        <v>461.98</v>
      </c>
    </row>
    <row r="361" spans="1:3" hidden="1" outlineLevel="1">
      <c r="A361" s="12"/>
      <c r="B361" s="9" t="s">
        <v>1168</v>
      </c>
      <c r="C361" s="10">
        <v>417.25</v>
      </c>
    </row>
    <row r="362" spans="1:3" ht="27.95" hidden="1" outlineLevel="1">
      <c r="A362" s="12"/>
      <c r="B362" s="9" t="s">
        <v>945</v>
      </c>
      <c r="C362" s="10">
        <v>392.03000000000003</v>
      </c>
    </row>
    <row r="363" spans="1:3" ht="27.95" hidden="1" outlineLevel="1">
      <c r="A363" s="12"/>
      <c r="B363" s="9" t="s">
        <v>1169</v>
      </c>
      <c r="C363" s="10">
        <v>185.35</v>
      </c>
    </row>
    <row r="364" spans="1:3" ht="27.95" hidden="1" outlineLevel="1">
      <c r="A364" s="12"/>
      <c r="B364" s="9" t="s">
        <v>1170</v>
      </c>
      <c r="C364" s="10">
        <v>145.56</v>
      </c>
    </row>
    <row r="365" spans="1:3" ht="27.95" hidden="1" outlineLevel="1">
      <c r="A365" s="12"/>
      <c r="B365" s="9" t="s">
        <v>1171</v>
      </c>
      <c r="C365" s="10">
        <v>112.2</v>
      </c>
    </row>
    <row r="366" spans="1:3" ht="27.95" hidden="1" outlineLevel="1">
      <c r="A366" s="12"/>
      <c r="B366" s="9" t="s">
        <v>1172</v>
      </c>
      <c r="C366" s="10">
        <v>0</v>
      </c>
    </row>
    <row r="367" spans="1:3" collapsed="1">
      <c r="A367" s="12"/>
      <c r="B367" s="13"/>
      <c r="C367" s="14">
        <f>SUM(C226:C245)</f>
        <v>36257412.410000004</v>
      </c>
    </row>
    <row r="368" spans="1:3">
      <c r="A368" s="12"/>
      <c r="B368" s="9"/>
      <c r="C368" s="10"/>
    </row>
    <row r="369" spans="1:3" ht="56.1">
      <c r="A369" s="47" t="s">
        <v>8</v>
      </c>
      <c r="B369" s="9" t="s">
        <v>1173</v>
      </c>
      <c r="C369" s="10">
        <v>14851357.439999999</v>
      </c>
    </row>
    <row r="370" spans="1:3" ht="27.95">
      <c r="A370" s="47"/>
      <c r="B370" s="9" t="s">
        <v>1174</v>
      </c>
      <c r="C370" s="10">
        <v>7464246.9400000004</v>
      </c>
    </row>
    <row r="371" spans="1:3" ht="27.95">
      <c r="A371" s="47"/>
      <c r="B371" s="9" t="s">
        <v>1175</v>
      </c>
      <c r="C371" s="10">
        <v>2323449.89</v>
      </c>
    </row>
    <row r="372" spans="1:3" ht="27.95">
      <c r="A372" s="47"/>
      <c r="B372" s="9" t="s">
        <v>1176</v>
      </c>
      <c r="C372" s="10">
        <v>2263132.2200000002</v>
      </c>
    </row>
    <row r="373" spans="1:3" ht="27.95">
      <c r="A373" s="47"/>
      <c r="B373" s="9" t="s">
        <v>1177</v>
      </c>
      <c r="C373" s="10">
        <v>799837.38</v>
      </c>
    </row>
    <row r="374" spans="1:3" ht="27.95">
      <c r="A374" s="47"/>
      <c r="B374" s="9" t="s">
        <v>1178</v>
      </c>
      <c r="C374" s="10">
        <v>493574.49000000005</v>
      </c>
    </row>
    <row r="375" spans="1:3" ht="27.95">
      <c r="A375" s="47"/>
      <c r="B375" s="9" t="s">
        <v>1179</v>
      </c>
      <c r="C375" s="10">
        <v>377840.74</v>
      </c>
    </row>
    <row r="376" spans="1:3">
      <c r="A376" s="47"/>
      <c r="B376" s="9" t="s">
        <v>1180</v>
      </c>
      <c r="C376" s="10">
        <v>350000</v>
      </c>
    </row>
    <row r="377" spans="1:3" ht="27.95">
      <c r="A377" s="47"/>
      <c r="B377" s="9" t="s">
        <v>1181</v>
      </c>
      <c r="C377" s="10">
        <v>325918.69</v>
      </c>
    </row>
    <row r="378" spans="1:3" ht="42">
      <c r="A378" s="47"/>
      <c r="B378" s="9" t="s">
        <v>1182</v>
      </c>
      <c r="C378" s="10">
        <v>320000</v>
      </c>
    </row>
    <row r="379" spans="1:3" ht="27.95">
      <c r="A379" s="47"/>
      <c r="B379" s="9" t="s">
        <v>1183</v>
      </c>
      <c r="C379" s="10">
        <v>310000</v>
      </c>
    </row>
    <row r="380" spans="1:3" ht="27.95">
      <c r="A380" s="47"/>
      <c r="B380" s="9" t="s">
        <v>1184</v>
      </c>
      <c r="C380" s="10">
        <v>282771.7</v>
      </c>
    </row>
    <row r="381" spans="1:3" ht="27.95">
      <c r="A381" s="47"/>
      <c r="B381" s="9" t="s">
        <v>1185</v>
      </c>
      <c r="C381" s="10">
        <v>279529.93</v>
      </c>
    </row>
    <row r="382" spans="1:3" ht="56.1">
      <c r="A382" s="47"/>
      <c r="B382" s="9" t="s">
        <v>1186</v>
      </c>
      <c r="C382" s="10">
        <v>257488.95</v>
      </c>
    </row>
    <row r="383" spans="1:3">
      <c r="A383" s="47"/>
      <c r="B383" s="9" t="s">
        <v>1187</v>
      </c>
      <c r="C383" s="10">
        <v>171562.81</v>
      </c>
    </row>
    <row r="384" spans="1:3">
      <c r="A384" s="47"/>
      <c r="B384" s="9" t="s">
        <v>1188</v>
      </c>
      <c r="C384" s="10">
        <v>170703.7</v>
      </c>
    </row>
    <row r="385" spans="1:3" ht="27.95">
      <c r="A385" s="47"/>
      <c r="B385" s="9" t="s">
        <v>1189</v>
      </c>
      <c r="C385" s="10">
        <v>161763.73000000001</v>
      </c>
    </row>
    <row r="386" spans="1:3" ht="27.95">
      <c r="A386" s="47"/>
      <c r="B386" s="9" t="s">
        <v>1190</v>
      </c>
      <c r="C386" s="10">
        <v>139421.78</v>
      </c>
    </row>
    <row r="387" spans="1:3">
      <c r="A387" s="47"/>
      <c r="B387" s="9" t="s">
        <v>1191</v>
      </c>
      <c r="C387" s="10">
        <v>135783.13</v>
      </c>
    </row>
    <row r="388" spans="1:3">
      <c r="A388" s="47"/>
      <c r="B388" s="9" t="s">
        <v>1192</v>
      </c>
      <c r="C388" s="10">
        <v>119155.51</v>
      </c>
    </row>
    <row r="389" spans="1:3" ht="27.95" hidden="1" outlineLevel="1">
      <c r="A389" s="12"/>
      <c r="B389" s="9" t="s">
        <v>1193</v>
      </c>
      <c r="C389" s="10">
        <v>92316</v>
      </c>
    </row>
    <row r="390" spans="1:3" ht="27.95" hidden="1" outlineLevel="1">
      <c r="A390" s="12"/>
      <c r="B390" s="9" t="s">
        <v>1194</v>
      </c>
      <c r="C390" s="10">
        <v>90201.48</v>
      </c>
    </row>
    <row r="391" spans="1:3" ht="27.95" hidden="1" outlineLevel="1">
      <c r="A391" s="12"/>
      <c r="B391" s="9" t="s">
        <v>1195</v>
      </c>
      <c r="C391" s="10">
        <v>88263.03</v>
      </c>
    </row>
    <row r="392" spans="1:3" hidden="1" outlineLevel="1">
      <c r="A392" s="12"/>
      <c r="B392" s="9" t="s">
        <v>1196</v>
      </c>
      <c r="C392" s="10">
        <v>87639.17</v>
      </c>
    </row>
    <row r="393" spans="1:3" ht="27.95" hidden="1" outlineLevel="1">
      <c r="A393" s="12"/>
      <c r="B393" s="9" t="s">
        <v>1197</v>
      </c>
      <c r="C393" s="10">
        <v>87481.37999999999</v>
      </c>
    </row>
    <row r="394" spans="1:3" hidden="1" outlineLevel="1">
      <c r="A394" s="12"/>
      <c r="B394" s="9" t="s">
        <v>1198</v>
      </c>
      <c r="C394" s="10">
        <v>79200</v>
      </c>
    </row>
    <row r="395" spans="1:3" ht="27.95" hidden="1" outlineLevel="1">
      <c r="A395" s="12"/>
      <c r="B395" s="9" t="s">
        <v>1199</v>
      </c>
      <c r="C395" s="10">
        <v>78150.14</v>
      </c>
    </row>
    <row r="396" spans="1:3" hidden="1" outlineLevel="1">
      <c r="A396" s="12"/>
      <c r="B396" s="9" t="s">
        <v>1200</v>
      </c>
      <c r="C396" s="10">
        <v>77864.44</v>
      </c>
    </row>
    <row r="397" spans="1:3" ht="27.95" hidden="1" outlineLevel="1">
      <c r="A397" s="12"/>
      <c r="B397" s="9" t="s">
        <v>994</v>
      </c>
      <c r="C397" s="10">
        <v>58701.69</v>
      </c>
    </row>
    <row r="398" spans="1:3" hidden="1" outlineLevel="1">
      <c r="A398" s="12"/>
      <c r="B398" s="9" t="s">
        <v>864</v>
      </c>
      <c r="C398" s="10">
        <v>54750</v>
      </c>
    </row>
    <row r="399" spans="1:3" ht="27.95" hidden="1" outlineLevel="1">
      <c r="A399" s="12"/>
      <c r="B399" s="9" t="s">
        <v>1201</v>
      </c>
      <c r="C399" s="10">
        <v>54666.46</v>
      </c>
    </row>
    <row r="400" spans="1:3" ht="27.95" hidden="1" outlineLevel="1">
      <c r="A400" s="12"/>
      <c r="B400" s="9" t="s">
        <v>1202</v>
      </c>
      <c r="C400" s="10">
        <v>53331.16</v>
      </c>
    </row>
    <row r="401" spans="1:3" hidden="1" outlineLevel="1">
      <c r="A401" s="12"/>
      <c r="B401" s="9" t="s">
        <v>1203</v>
      </c>
      <c r="C401" s="10">
        <v>51000</v>
      </c>
    </row>
    <row r="402" spans="1:3" hidden="1" outlineLevel="1">
      <c r="A402" s="12"/>
      <c r="B402" s="9" t="s">
        <v>1204</v>
      </c>
      <c r="C402" s="10">
        <v>38788.75</v>
      </c>
    </row>
    <row r="403" spans="1:3" hidden="1" outlineLevel="1">
      <c r="A403" s="12"/>
      <c r="B403" s="9" t="s">
        <v>1205</v>
      </c>
      <c r="C403" s="10">
        <v>35571.769999999997</v>
      </c>
    </row>
    <row r="404" spans="1:3" ht="42" hidden="1" outlineLevel="1">
      <c r="A404" s="12"/>
      <c r="B404" s="9" t="s">
        <v>1206</v>
      </c>
      <c r="C404" s="10">
        <v>34803.230000000003</v>
      </c>
    </row>
    <row r="405" spans="1:3" ht="27.95" hidden="1" outlineLevel="1">
      <c r="A405" s="12"/>
      <c r="B405" s="9" t="s">
        <v>996</v>
      </c>
      <c r="C405" s="10">
        <v>32645.9</v>
      </c>
    </row>
    <row r="406" spans="1:3" hidden="1" outlineLevel="1">
      <c r="A406" s="12"/>
      <c r="B406" s="9" t="s">
        <v>1207</v>
      </c>
      <c r="C406" s="10">
        <v>26500</v>
      </c>
    </row>
    <row r="407" spans="1:3" hidden="1" outlineLevel="1">
      <c r="A407" s="12"/>
      <c r="B407" s="9" t="s">
        <v>1208</v>
      </c>
      <c r="C407" s="10">
        <v>24000</v>
      </c>
    </row>
    <row r="408" spans="1:3" ht="27.95" hidden="1" outlineLevel="1">
      <c r="A408" s="12"/>
      <c r="B408" s="9" t="s">
        <v>1209</v>
      </c>
      <c r="C408" s="10">
        <v>16000</v>
      </c>
    </row>
    <row r="409" spans="1:3" hidden="1" outlineLevel="1">
      <c r="A409" s="12"/>
      <c r="B409" s="9" t="s">
        <v>1210</v>
      </c>
      <c r="C409" s="10">
        <v>15000</v>
      </c>
    </row>
    <row r="410" spans="1:3" ht="27.95" hidden="1" outlineLevel="1">
      <c r="A410" s="12"/>
      <c r="B410" s="9" t="s">
        <v>1211</v>
      </c>
      <c r="C410" s="10">
        <v>14729.36</v>
      </c>
    </row>
    <row r="411" spans="1:3" hidden="1" outlineLevel="1">
      <c r="A411" s="12"/>
      <c r="B411" s="9" t="s">
        <v>1212</v>
      </c>
      <c r="C411" s="10">
        <v>13200</v>
      </c>
    </row>
    <row r="412" spans="1:3" ht="27.95" hidden="1" outlineLevel="1">
      <c r="A412" s="12"/>
      <c r="B412" s="9" t="s">
        <v>1213</v>
      </c>
      <c r="C412" s="10">
        <v>12683.67</v>
      </c>
    </row>
    <row r="413" spans="1:3" ht="27.95" hidden="1" outlineLevel="1">
      <c r="A413" s="12"/>
      <c r="B413" s="9" t="s">
        <v>1214</v>
      </c>
      <c r="C413" s="10">
        <v>8863.3700000000008</v>
      </c>
    </row>
    <row r="414" spans="1:3" ht="27.95" hidden="1" outlineLevel="1">
      <c r="A414" s="12"/>
      <c r="B414" s="9" t="s">
        <v>1215</v>
      </c>
      <c r="C414" s="10">
        <v>7925.57</v>
      </c>
    </row>
    <row r="415" spans="1:3" hidden="1" outlineLevel="1">
      <c r="A415" s="12"/>
      <c r="B415" s="9" t="s">
        <v>1025</v>
      </c>
      <c r="C415" s="10">
        <v>7442.43</v>
      </c>
    </row>
    <row r="416" spans="1:3" hidden="1" outlineLevel="1">
      <c r="A416" s="12"/>
      <c r="B416" s="9" t="s">
        <v>1216</v>
      </c>
      <c r="C416" s="10">
        <v>7333.33</v>
      </c>
    </row>
    <row r="417" spans="1:3" ht="27.95" hidden="1" outlineLevel="1">
      <c r="A417" s="12"/>
      <c r="B417" s="9" t="s">
        <v>1217</v>
      </c>
      <c r="C417" s="10">
        <v>6851.3600000000006</v>
      </c>
    </row>
    <row r="418" spans="1:3" ht="27.95" hidden="1" outlineLevel="1">
      <c r="A418" s="12"/>
      <c r="B418" s="9" t="s">
        <v>1102</v>
      </c>
      <c r="C418" s="10">
        <v>6575.18</v>
      </c>
    </row>
    <row r="419" spans="1:3" ht="27.95" hidden="1" outlineLevel="1">
      <c r="A419" s="12"/>
      <c r="B419" s="9" t="s">
        <v>1218</v>
      </c>
      <c r="C419" s="10">
        <v>4571.3900000000003</v>
      </c>
    </row>
    <row r="420" spans="1:3" hidden="1" outlineLevel="1">
      <c r="A420" s="12"/>
      <c r="B420" s="9" t="s">
        <v>1219</v>
      </c>
      <c r="C420" s="10">
        <v>4247.8900000000003</v>
      </c>
    </row>
    <row r="421" spans="1:3" ht="27.95" hidden="1" outlineLevel="1">
      <c r="A421" s="12"/>
      <c r="B421" s="9" t="s">
        <v>1220</v>
      </c>
      <c r="C421" s="10">
        <v>3292.96</v>
      </c>
    </row>
    <row r="422" spans="1:3" hidden="1" outlineLevel="1">
      <c r="A422" s="12"/>
      <c r="B422" s="9" t="s">
        <v>1156</v>
      </c>
      <c r="C422" s="10">
        <v>2770.08</v>
      </c>
    </row>
    <row r="423" spans="1:3" hidden="1" outlineLevel="1">
      <c r="A423" s="12"/>
      <c r="B423" s="9" t="s">
        <v>1032</v>
      </c>
      <c r="C423" s="10">
        <v>2434.9299999999998</v>
      </c>
    </row>
    <row r="424" spans="1:3" ht="27.95" hidden="1" outlineLevel="1">
      <c r="A424" s="12"/>
      <c r="B424" s="9" t="s">
        <v>1221</v>
      </c>
      <c r="C424" s="10">
        <v>2400</v>
      </c>
    </row>
    <row r="425" spans="1:3" hidden="1" outlineLevel="1">
      <c r="A425" s="12"/>
      <c r="B425" s="9" t="s">
        <v>1222</v>
      </c>
      <c r="C425" s="10">
        <v>1294.8800000000001</v>
      </c>
    </row>
    <row r="426" spans="1:3" hidden="1" outlineLevel="1">
      <c r="A426" s="12"/>
      <c r="B426" s="9" t="s">
        <v>910</v>
      </c>
      <c r="C426" s="10">
        <v>1106.48</v>
      </c>
    </row>
    <row r="427" spans="1:3" hidden="1" outlineLevel="1">
      <c r="A427" s="12"/>
      <c r="B427" s="9" t="s">
        <v>1040</v>
      </c>
      <c r="C427" s="10">
        <v>959.2</v>
      </c>
    </row>
    <row r="428" spans="1:3" ht="27.95" hidden="1" outlineLevel="1">
      <c r="A428" s="12"/>
      <c r="B428" s="9" t="s">
        <v>927</v>
      </c>
      <c r="C428" s="10">
        <v>574.23</v>
      </c>
    </row>
    <row r="429" spans="1:3" ht="27.95" hidden="1" outlineLevel="1">
      <c r="A429" s="12"/>
      <c r="B429" s="9" t="s">
        <v>945</v>
      </c>
      <c r="C429" s="10">
        <v>485.02000000000004</v>
      </c>
    </row>
    <row r="430" spans="1:3" hidden="1" outlineLevel="1">
      <c r="A430" s="12"/>
      <c r="B430" s="9" t="s">
        <v>1223</v>
      </c>
      <c r="C430" s="10">
        <v>450</v>
      </c>
    </row>
    <row r="431" spans="1:3" hidden="1" outlineLevel="1">
      <c r="A431" s="12"/>
      <c r="B431" s="9" t="s">
        <v>1224</v>
      </c>
      <c r="C431" s="10">
        <v>388.03</v>
      </c>
    </row>
    <row r="432" spans="1:3" collapsed="1">
      <c r="A432" s="12"/>
      <c r="B432" s="13"/>
      <c r="C432" s="14">
        <f>SUM(C369:C388)</f>
        <v>31597539.029999994</v>
      </c>
    </row>
    <row r="433" spans="1:3">
      <c r="A433" s="12"/>
      <c r="B433" s="9"/>
      <c r="C433" s="10"/>
    </row>
    <row r="434" spans="1:3" ht="27.95">
      <c r="A434" s="47" t="s">
        <v>6</v>
      </c>
      <c r="B434" s="9" t="s">
        <v>1225</v>
      </c>
      <c r="C434" s="10">
        <v>5376529.79</v>
      </c>
    </row>
    <row r="435" spans="1:3" ht="27.95">
      <c r="A435" s="47"/>
      <c r="B435" s="9" t="s">
        <v>1226</v>
      </c>
      <c r="C435" s="10">
        <v>3197978.2699999996</v>
      </c>
    </row>
    <row r="436" spans="1:3" ht="27.95">
      <c r="A436" s="47"/>
      <c r="B436" s="9" t="s">
        <v>1227</v>
      </c>
      <c r="C436" s="10">
        <v>1530000</v>
      </c>
    </row>
    <row r="437" spans="1:3" ht="27.95">
      <c r="A437" s="47"/>
      <c r="B437" s="9" t="s">
        <v>1228</v>
      </c>
      <c r="C437" s="10">
        <v>1398991.81</v>
      </c>
    </row>
    <row r="438" spans="1:3" ht="27.95">
      <c r="A438" s="47"/>
      <c r="B438" s="9" t="s">
        <v>859</v>
      </c>
      <c r="C438" s="10">
        <v>1177968.03</v>
      </c>
    </row>
    <row r="439" spans="1:3">
      <c r="A439" s="47"/>
      <c r="B439" s="9" t="s">
        <v>1229</v>
      </c>
      <c r="C439" s="10">
        <v>1134933.1599999999</v>
      </c>
    </row>
    <row r="440" spans="1:3" ht="27.95">
      <c r="A440" s="47"/>
      <c r="B440" s="9" t="s">
        <v>861</v>
      </c>
      <c r="C440" s="10">
        <v>1000000</v>
      </c>
    </row>
    <row r="441" spans="1:3" ht="42">
      <c r="A441" s="47"/>
      <c r="B441" s="9" t="s">
        <v>1230</v>
      </c>
      <c r="C441" s="10">
        <v>913888.54</v>
      </c>
    </row>
    <row r="442" spans="1:3">
      <c r="A442" s="47"/>
      <c r="B442" s="9" t="s">
        <v>1231</v>
      </c>
      <c r="C442" s="10">
        <v>848641.72</v>
      </c>
    </row>
    <row r="443" spans="1:3" ht="27.95">
      <c r="A443" s="47"/>
      <c r="B443" s="9" t="s">
        <v>1232</v>
      </c>
      <c r="C443" s="10">
        <v>760654.5</v>
      </c>
    </row>
    <row r="444" spans="1:3" ht="27.95">
      <c r="A444" s="47"/>
      <c r="B444" s="9" t="s">
        <v>1233</v>
      </c>
      <c r="C444" s="10">
        <v>734216.74</v>
      </c>
    </row>
    <row r="445" spans="1:3" ht="27.95">
      <c r="A445" s="47"/>
      <c r="B445" s="9" t="s">
        <v>1234</v>
      </c>
      <c r="C445" s="10">
        <v>684410.66</v>
      </c>
    </row>
    <row r="446" spans="1:3">
      <c r="A446" s="47"/>
      <c r="B446" s="9" t="s">
        <v>1235</v>
      </c>
      <c r="C446" s="10">
        <v>664422.21</v>
      </c>
    </row>
    <row r="447" spans="1:3" ht="27.95">
      <c r="A447" s="47"/>
      <c r="B447" s="9" t="s">
        <v>1236</v>
      </c>
      <c r="C447" s="10">
        <v>613221.71</v>
      </c>
    </row>
    <row r="448" spans="1:3" ht="27.95">
      <c r="A448" s="47"/>
      <c r="B448" s="9" t="s">
        <v>1237</v>
      </c>
      <c r="C448" s="10">
        <v>525806.47</v>
      </c>
    </row>
    <row r="449" spans="1:3" ht="27.95">
      <c r="A449" s="47"/>
      <c r="B449" s="9" t="s">
        <v>1238</v>
      </c>
      <c r="C449" s="10">
        <v>514232.18</v>
      </c>
    </row>
    <row r="450" spans="1:3">
      <c r="A450" s="47"/>
      <c r="B450" s="9" t="s">
        <v>842</v>
      </c>
      <c r="C450" s="10">
        <v>492681.83</v>
      </c>
    </row>
    <row r="451" spans="1:3" ht="27.95">
      <c r="A451" s="47"/>
      <c r="B451" s="9" t="s">
        <v>1239</v>
      </c>
      <c r="C451" s="10">
        <v>402090.79</v>
      </c>
    </row>
    <row r="452" spans="1:3" ht="27.95">
      <c r="A452" s="47"/>
      <c r="B452" s="9" t="s">
        <v>865</v>
      </c>
      <c r="C452" s="10">
        <v>383199.37</v>
      </c>
    </row>
    <row r="453" spans="1:3" ht="27.95">
      <c r="A453" s="47"/>
      <c r="B453" s="9" t="s">
        <v>862</v>
      </c>
      <c r="C453" s="10">
        <v>371202.63</v>
      </c>
    </row>
    <row r="454" spans="1:3" ht="29.1" hidden="1" customHeight="1" outlineLevel="1">
      <c r="A454" s="47"/>
      <c r="B454" s="9" t="s">
        <v>1240</v>
      </c>
      <c r="C454" s="10">
        <v>352175.35999999999</v>
      </c>
    </row>
    <row r="455" spans="1:3" ht="27.95" hidden="1" outlineLevel="1">
      <c r="A455" s="12"/>
      <c r="B455" s="9" t="s">
        <v>1241</v>
      </c>
      <c r="C455" s="10">
        <v>342225.49</v>
      </c>
    </row>
    <row r="456" spans="1:3" ht="27.95" hidden="1" outlineLevel="1">
      <c r="A456" s="12"/>
      <c r="B456" s="9" t="s">
        <v>1242</v>
      </c>
      <c r="C456" s="10">
        <v>337257.19</v>
      </c>
    </row>
    <row r="457" spans="1:3" hidden="1" outlineLevel="1">
      <c r="A457" s="12"/>
      <c r="B457" s="9" t="s">
        <v>1243</v>
      </c>
      <c r="C457" s="10">
        <v>334323.93</v>
      </c>
    </row>
    <row r="458" spans="1:3" ht="42" hidden="1" outlineLevel="1">
      <c r="A458" s="12"/>
      <c r="B458" s="9" t="s">
        <v>1244</v>
      </c>
      <c r="C458" s="10">
        <v>320571.34000000003</v>
      </c>
    </row>
    <row r="459" spans="1:3" ht="27.95" hidden="1" outlineLevel="1">
      <c r="A459" s="12"/>
      <c r="B459" s="9" t="s">
        <v>1245</v>
      </c>
      <c r="C459" s="10">
        <v>252296.53</v>
      </c>
    </row>
    <row r="460" spans="1:3" ht="27.95" hidden="1" outlineLevel="1">
      <c r="A460" s="12"/>
      <c r="B460" s="9" t="s">
        <v>1064</v>
      </c>
      <c r="C460" s="10">
        <v>240106.32</v>
      </c>
    </row>
    <row r="461" spans="1:3" ht="27.95" hidden="1" outlineLevel="1">
      <c r="A461" s="12"/>
      <c r="B461" s="9" t="s">
        <v>1246</v>
      </c>
      <c r="C461" s="10">
        <v>202810.71</v>
      </c>
    </row>
    <row r="462" spans="1:3" hidden="1" outlineLevel="1">
      <c r="A462" s="12"/>
      <c r="B462" s="9" t="s">
        <v>1247</v>
      </c>
      <c r="C462" s="10">
        <v>198060.9</v>
      </c>
    </row>
    <row r="463" spans="1:3" hidden="1" outlineLevel="1">
      <c r="A463" s="12"/>
      <c r="B463" s="9" t="s">
        <v>1248</v>
      </c>
      <c r="C463" s="10">
        <v>196623.88</v>
      </c>
    </row>
    <row r="464" spans="1:3" ht="27.95" hidden="1" outlineLevel="1">
      <c r="A464" s="12"/>
      <c r="B464" s="9" t="s">
        <v>1249</v>
      </c>
      <c r="C464" s="10">
        <v>192895.87</v>
      </c>
    </row>
    <row r="465" spans="1:3" ht="27.95" hidden="1" outlineLevel="1">
      <c r="A465" s="12"/>
      <c r="B465" s="9" t="s">
        <v>1250</v>
      </c>
      <c r="C465" s="10">
        <v>181887.01</v>
      </c>
    </row>
    <row r="466" spans="1:3" ht="27.95" hidden="1" outlineLevel="1">
      <c r="A466" s="12"/>
      <c r="B466" s="9" t="s">
        <v>1251</v>
      </c>
      <c r="C466" s="10">
        <v>177971</v>
      </c>
    </row>
    <row r="467" spans="1:3" ht="27.95" hidden="1" outlineLevel="1">
      <c r="A467" s="12"/>
      <c r="B467" s="9" t="s">
        <v>1089</v>
      </c>
      <c r="C467" s="10">
        <v>171833.76</v>
      </c>
    </row>
    <row r="468" spans="1:3" ht="27.95" hidden="1" outlineLevel="1">
      <c r="A468" s="12"/>
      <c r="B468" s="9" t="s">
        <v>1252</v>
      </c>
      <c r="C468" s="10">
        <v>151634.80000000002</v>
      </c>
    </row>
    <row r="469" spans="1:3" ht="27.95" hidden="1" outlineLevel="1">
      <c r="A469" s="12"/>
      <c r="B469" s="9" t="s">
        <v>1253</v>
      </c>
      <c r="C469" s="10">
        <v>140729.69</v>
      </c>
    </row>
    <row r="470" spans="1:3" hidden="1" outlineLevel="1">
      <c r="A470" s="12"/>
      <c r="B470" s="9" t="s">
        <v>1254</v>
      </c>
      <c r="C470" s="10">
        <v>132803.19</v>
      </c>
    </row>
    <row r="471" spans="1:3" ht="27.95" hidden="1" outlineLevel="1">
      <c r="A471" s="12"/>
      <c r="B471" s="9" t="s">
        <v>1255</v>
      </c>
      <c r="C471" s="10">
        <v>126690.37</v>
      </c>
    </row>
    <row r="472" spans="1:3" ht="56.1" hidden="1" outlineLevel="1">
      <c r="A472" s="12"/>
      <c r="B472" s="9" t="s">
        <v>1256</v>
      </c>
      <c r="C472" s="10">
        <v>121179.26000000001</v>
      </c>
    </row>
    <row r="473" spans="1:3" ht="27.95" hidden="1" outlineLevel="1">
      <c r="A473" s="12"/>
      <c r="B473" s="9" t="s">
        <v>1257</v>
      </c>
      <c r="C473" s="10">
        <v>119157.68</v>
      </c>
    </row>
    <row r="474" spans="1:3" hidden="1" outlineLevel="1">
      <c r="A474" s="12"/>
      <c r="B474" s="9" t="s">
        <v>1258</v>
      </c>
      <c r="C474" s="10">
        <v>116000</v>
      </c>
    </row>
    <row r="475" spans="1:3" ht="27.95" hidden="1" outlineLevel="1">
      <c r="A475" s="12"/>
      <c r="B475" s="9" t="s">
        <v>1259</v>
      </c>
      <c r="C475" s="10">
        <v>110503.46</v>
      </c>
    </row>
    <row r="476" spans="1:3" ht="27.95" hidden="1" outlineLevel="1">
      <c r="A476" s="12"/>
      <c r="B476" s="9" t="s">
        <v>1260</v>
      </c>
      <c r="C476" s="10">
        <v>103237.62</v>
      </c>
    </row>
    <row r="477" spans="1:3" ht="27.95" hidden="1" outlineLevel="1">
      <c r="A477" s="12"/>
      <c r="B477" s="9" t="s">
        <v>1261</v>
      </c>
      <c r="C477" s="10">
        <v>95223.98</v>
      </c>
    </row>
    <row r="478" spans="1:3" hidden="1" outlineLevel="1">
      <c r="A478" s="12"/>
      <c r="B478" s="9" t="s">
        <v>1262</v>
      </c>
      <c r="C478" s="10">
        <v>86251.77</v>
      </c>
    </row>
    <row r="479" spans="1:3" ht="27.95" hidden="1" outlineLevel="1">
      <c r="A479" s="12"/>
      <c r="B479" s="9" t="s">
        <v>1214</v>
      </c>
      <c r="C479" s="10">
        <v>79770.33</v>
      </c>
    </row>
    <row r="480" spans="1:3" ht="42" hidden="1" outlineLevel="1">
      <c r="A480" s="12"/>
      <c r="B480" s="9" t="s">
        <v>1263</v>
      </c>
      <c r="C480" s="10">
        <v>66722.149999999994</v>
      </c>
    </row>
    <row r="481" spans="1:3" ht="27.95" hidden="1" outlineLevel="1">
      <c r="A481" s="12"/>
      <c r="B481" s="9" t="s">
        <v>1080</v>
      </c>
      <c r="C481" s="10">
        <v>66000</v>
      </c>
    </row>
    <row r="482" spans="1:3" ht="27.95" hidden="1" outlineLevel="1">
      <c r="A482" s="12"/>
      <c r="B482" s="9" t="s">
        <v>1264</v>
      </c>
      <c r="C482" s="10">
        <v>64695.6</v>
      </c>
    </row>
    <row r="483" spans="1:3" ht="27.95" hidden="1" outlineLevel="1">
      <c r="A483" s="12"/>
      <c r="B483" s="9" t="s">
        <v>1265</v>
      </c>
      <c r="C483" s="10">
        <v>62332.37</v>
      </c>
    </row>
    <row r="484" spans="1:3" hidden="1" outlineLevel="1">
      <c r="A484" s="12"/>
      <c r="B484" s="9" t="s">
        <v>1266</v>
      </c>
      <c r="C484" s="10">
        <v>61837.760000000002</v>
      </c>
    </row>
    <row r="485" spans="1:3" ht="27.95" hidden="1" outlineLevel="1">
      <c r="A485" s="12"/>
      <c r="B485" s="9" t="s">
        <v>1267</v>
      </c>
      <c r="C485" s="10">
        <v>60662.14</v>
      </c>
    </row>
    <row r="486" spans="1:3" ht="27.95" hidden="1" outlineLevel="1">
      <c r="A486" s="12"/>
      <c r="B486" s="9" t="s">
        <v>1074</v>
      </c>
      <c r="C486" s="10">
        <v>52710.05</v>
      </c>
    </row>
    <row r="487" spans="1:3" ht="27.95" hidden="1" outlineLevel="1">
      <c r="A487" s="12"/>
      <c r="B487" s="9" t="s">
        <v>1268</v>
      </c>
      <c r="C487" s="10">
        <v>50383.33</v>
      </c>
    </row>
    <row r="488" spans="1:3" ht="27.95" hidden="1" outlineLevel="1">
      <c r="A488" s="12"/>
      <c r="B488" s="9" t="s">
        <v>1269</v>
      </c>
      <c r="C488" s="10">
        <v>49656.53</v>
      </c>
    </row>
    <row r="489" spans="1:3" hidden="1" outlineLevel="1">
      <c r="A489" s="12"/>
      <c r="B489" s="9" t="s">
        <v>1002</v>
      </c>
      <c r="C489" s="10">
        <v>46000</v>
      </c>
    </row>
    <row r="490" spans="1:3" hidden="1" outlineLevel="1">
      <c r="A490" s="12"/>
      <c r="B490" s="9" t="s">
        <v>1270</v>
      </c>
      <c r="C490" s="10">
        <v>44932.85</v>
      </c>
    </row>
    <row r="491" spans="1:3" hidden="1" outlineLevel="1">
      <c r="A491" s="12"/>
      <c r="B491" s="9" t="s">
        <v>1094</v>
      </c>
      <c r="C491" s="10">
        <v>42849.65</v>
      </c>
    </row>
    <row r="492" spans="1:3" hidden="1" outlineLevel="1">
      <c r="A492" s="12"/>
      <c r="B492" s="9" t="s">
        <v>1271</v>
      </c>
      <c r="C492" s="10">
        <v>42398.48</v>
      </c>
    </row>
    <row r="493" spans="1:3" ht="27.95" hidden="1" outlineLevel="1">
      <c r="A493" s="12"/>
      <c r="B493" s="9" t="s">
        <v>1272</v>
      </c>
      <c r="C493" s="10">
        <v>42114.05</v>
      </c>
    </row>
    <row r="494" spans="1:3" ht="27.95" hidden="1" outlineLevel="1">
      <c r="A494" s="12"/>
      <c r="B494" s="9" t="s">
        <v>1273</v>
      </c>
      <c r="C494" s="10">
        <v>39839.129999999997</v>
      </c>
    </row>
    <row r="495" spans="1:3" ht="27.95" hidden="1" outlineLevel="1">
      <c r="A495" s="12"/>
      <c r="B495" s="9" t="s">
        <v>1066</v>
      </c>
      <c r="C495" s="10">
        <v>38034.339999999997</v>
      </c>
    </row>
    <row r="496" spans="1:3" ht="27.95" hidden="1" outlineLevel="1">
      <c r="A496" s="12"/>
      <c r="B496" s="9" t="s">
        <v>1274</v>
      </c>
      <c r="C496" s="10">
        <v>36000</v>
      </c>
    </row>
    <row r="497" spans="1:3" ht="27.95" hidden="1" outlineLevel="1">
      <c r="A497" s="12"/>
      <c r="B497" s="9" t="s">
        <v>1275</v>
      </c>
      <c r="C497" s="10">
        <v>34361.769999999997</v>
      </c>
    </row>
    <row r="498" spans="1:3" hidden="1" outlineLevel="1">
      <c r="A498" s="12"/>
      <c r="B498" s="9" t="s">
        <v>1276</v>
      </c>
      <c r="C498" s="10">
        <v>33294.559999999998</v>
      </c>
    </row>
    <row r="499" spans="1:3" ht="27.95" hidden="1" outlineLevel="1">
      <c r="A499" s="12"/>
      <c r="B499" s="9" t="s">
        <v>1277</v>
      </c>
      <c r="C499" s="10">
        <v>33027.24</v>
      </c>
    </row>
    <row r="500" spans="1:3" hidden="1" outlineLevel="1">
      <c r="A500" s="12"/>
      <c r="B500" s="9" t="s">
        <v>1278</v>
      </c>
      <c r="C500" s="10">
        <v>29310.77</v>
      </c>
    </row>
    <row r="501" spans="1:3" ht="27.95" hidden="1" outlineLevel="1">
      <c r="A501" s="12"/>
      <c r="B501" s="9" t="s">
        <v>888</v>
      </c>
      <c r="C501" s="10">
        <v>28716.77</v>
      </c>
    </row>
    <row r="502" spans="1:3" ht="27.95" hidden="1" outlineLevel="1">
      <c r="A502" s="12"/>
      <c r="B502" s="9" t="s">
        <v>1279</v>
      </c>
      <c r="C502" s="10">
        <v>27152.959999999999</v>
      </c>
    </row>
    <row r="503" spans="1:3" ht="27.95" hidden="1" outlineLevel="1">
      <c r="A503" s="12"/>
      <c r="B503" s="9" t="s">
        <v>1280</v>
      </c>
      <c r="C503" s="10">
        <v>27045</v>
      </c>
    </row>
    <row r="504" spans="1:3" hidden="1" outlineLevel="1">
      <c r="A504" s="12"/>
      <c r="B504" s="9" t="s">
        <v>1281</v>
      </c>
      <c r="C504" s="10">
        <v>26556.67</v>
      </c>
    </row>
    <row r="505" spans="1:3" hidden="1" outlineLevel="1">
      <c r="A505" s="12"/>
      <c r="B505" s="9" t="s">
        <v>1282</v>
      </c>
      <c r="C505" s="10">
        <v>25762.37</v>
      </c>
    </row>
    <row r="506" spans="1:3" hidden="1" outlineLevel="1">
      <c r="A506" s="12"/>
      <c r="B506" s="9" t="s">
        <v>1283</v>
      </c>
      <c r="C506" s="10">
        <v>25421.79</v>
      </c>
    </row>
    <row r="507" spans="1:3" hidden="1" outlineLevel="1">
      <c r="A507" s="12"/>
      <c r="B507" s="9" t="s">
        <v>1284</v>
      </c>
      <c r="C507" s="10">
        <v>25062.62</v>
      </c>
    </row>
    <row r="508" spans="1:3" hidden="1" outlineLevel="1">
      <c r="A508" s="12"/>
      <c r="B508" s="9" t="s">
        <v>1285</v>
      </c>
      <c r="C508" s="10">
        <v>25045.46</v>
      </c>
    </row>
    <row r="509" spans="1:3" ht="27.95" hidden="1" outlineLevel="1">
      <c r="A509" s="12"/>
      <c r="B509" s="9" t="s">
        <v>1286</v>
      </c>
      <c r="C509" s="10">
        <v>24671.75</v>
      </c>
    </row>
    <row r="510" spans="1:3" ht="27.95" hidden="1" outlineLevel="1">
      <c r="A510" s="12"/>
      <c r="B510" s="9" t="s">
        <v>1287</v>
      </c>
      <c r="C510" s="10">
        <v>20777.84</v>
      </c>
    </row>
    <row r="511" spans="1:3" hidden="1" outlineLevel="1">
      <c r="A511" s="12"/>
      <c r="B511" s="9" t="s">
        <v>1020</v>
      </c>
      <c r="C511" s="10">
        <v>20461.54</v>
      </c>
    </row>
    <row r="512" spans="1:3" hidden="1" outlineLevel="1">
      <c r="A512" s="12"/>
      <c r="B512" s="9" t="s">
        <v>1288</v>
      </c>
      <c r="C512" s="10">
        <v>20054.560000000001</v>
      </c>
    </row>
    <row r="513" spans="1:3" hidden="1" outlineLevel="1">
      <c r="A513" s="12"/>
      <c r="B513" s="9" t="s">
        <v>1289</v>
      </c>
      <c r="C513" s="10">
        <v>20000</v>
      </c>
    </row>
    <row r="514" spans="1:3" ht="27.95" hidden="1" outlineLevel="1">
      <c r="A514" s="12"/>
      <c r="B514" s="9" t="s">
        <v>1290</v>
      </c>
      <c r="C514" s="10">
        <v>19500</v>
      </c>
    </row>
    <row r="515" spans="1:3" hidden="1" outlineLevel="1">
      <c r="A515" s="12"/>
      <c r="B515" s="9" t="s">
        <v>1291</v>
      </c>
      <c r="C515" s="10">
        <v>19384.150000000001</v>
      </c>
    </row>
    <row r="516" spans="1:3" ht="27.95" hidden="1" outlineLevel="1">
      <c r="A516" s="12"/>
      <c r="B516" s="9" t="s">
        <v>1292</v>
      </c>
      <c r="C516" s="10">
        <v>17046.89</v>
      </c>
    </row>
    <row r="517" spans="1:3" hidden="1" outlineLevel="1">
      <c r="A517" s="12"/>
      <c r="B517" s="9" t="s">
        <v>1293</v>
      </c>
      <c r="C517" s="10">
        <v>16976.830000000002</v>
      </c>
    </row>
    <row r="518" spans="1:3" ht="27.95" hidden="1" outlineLevel="1">
      <c r="A518" s="12"/>
      <c r="B518" s="9" t="s">
        <v>1294</v>
      </c>
      <c r="C518" s="10">
        <v>15654.01</v>
      </c>
    </row>
    <row r="519" spans="1:3" ht="27.95" hidden="1" outlineLevel="1">
      <c r="A519" s="12"/>
      <c r="B519" s="9" t="s">
        <v>1295</v>
      </c>
      <c r="C519" s="10">
        <v>15388.95</v>
      </c>
    </row>
    <row r="520" spans="1:3" ht="27.95" hidden="1" outlineLevel="1">
      <c r="A520" s="12"/>
      <c r="B520" s="9" t="s">
        <v>866</v>
      </c>
      <c r="C520" s="10">
        <v>14841.37</v>
      </c>
    </row>
    <row r="521" spans="1:3" ht="27.95" hidden="1" outlineLevel="1">
      <c r="A521" s="12"/>
      <c r="B521" s="9" t="s">
        <v>1296</v>
      </c>
      <c r="C521" s="10">
        <v>14546.89</v>
      </c>
    </row>
    <row r="522" spans="1:3" hidden="1" outlineLevel="1">
      <c r="A522" s="12"/>
      <c r="B522" s="9" t="s">
        <v>1297</v>
      </c>
      <c r="C522" s="10">
        <v>14234.05</v>
      </c>
    </row>
    <row r="523" spans="1:3" ht="27.95" hidden="1" outlineLevel="1">
      <c r="A523" s="12"/>
      <c r="B523" s="9" t="s">
        <v>1298</v>
      </c>
      <c r="C523" s="10">
        <v>13348.5</v>
      </c>
    </row>
    <row r="524" spans="1:3" ht="27.95" hidden="1" outlineLevel="1">
      <c r="A524" s="12"/>
      <c r="B524" s="9" t="s">
        <v>892</v>
      </c>
      <c r="C524" s="10">
        <v>12460.3</v>
      </c>
    </row>
    <row r="525" spans="1:3" ht="27.95" hidden="1" outlineLevel="1">
      <c r="A525" s="12"/>
      <c r="B525" s="9" t="s">
        <v>905</v>
      </c>
      <c r="C525" s="10">
        <v>11115.74</v>
      </c>
    </row>
    <row r="526" spans="1:3" hidden="1" outlineLevel="1">
      <c r="A526" s="12"/>
      <c r="B526" s="9" t="s">
        <v>1299</v>
      </c>
      <c r="C526" s="10">
        <v>10780.94</v>
      </c>
    </row>
    <row r="527" spans="1:3" ht="27.95" hidden="1" outlineLevel="1">
      <c r="A527" s="12"/>
      <c r="B527" s="9" t="s">
        <v>1300</v>
      </c>
      <c r="C527" s="10">
        <v>10769.14</v>
      </c>
    </row>
    <row r="528" spans="1:3" ht="27.95" hidden="1" outlineLevel="1">
      <c r="A528" s="12"/>
      <c r="B528" s="9" t="s">
        <v>1301</v>
      </c>
      <c r="C528" s="10">
        <v>9821.3799999999992</v>
      </c>
    </row>
    <row r="529" spans="1:3" ht="27.95" hidden="1" outlineLevel="1">
      <c r="A529" s="12"/>
      <c r="B529" s="9" t="s">
        <v>1302</v>
      </c>
      <c r="C529" s="10">
        <v>9069.44</v>
      </c>
    </row>
    <row r="530" spans="1:3" hidden="1" outlineLevel="1">
      <c r="A530" s="12"/>
      <c r="B530" s="9" t="s">
        <v>1303</v>
      </c>
      <c r="C530" s="10">
        <v>8957.76</v>
      </c>
    </row>
    <row r="531" spans="1:3" ht="27.95" hidden="1" outlineLevel="1">
      <c r="A531" s="12"/>
      <c r="B531" s="9" t="s">
        <v>1304</v>
      </c>
      <c r="C531" s="10">
        <v>8625</v>
      </c>
    </row>
    <row r="532" spans="1:3" hidden="1" outlineLevel="1">
      <c r="A532" s="12"/>
      <c r="B532" s="9" t="s">
        <v>1305</v>
      </c>
      <c r="C532" s="10">
        <v>8394.4</v>
      </c>
    </row>
    <row r="533" spans="1:3" hidden="1" outlineLevel="1">
      <c r="A533" s="12"/>
      <c r="B533" s="9" t="s">
        <v>917</v>
      </c>
      <c r="C533" s="10">
        <v>8238.48</v>
      </c>
    </row>
    <row r="534" spans="1:3" hidden="1" outlineLevel="1">
      <c r="A534" s="12"/>
      <c r="B534" s="9" t="s">
        <v>1306</v>
      </c>
      <c r="C534" s="10">
        <v>7700</v>
      </c>
    </row>
    <row r="535" spans="1:3" hidden="1" outlineLevel="1">
      <c r="A535" s="12"/>
      <c r="B535" s="9" t="s">
        <v>1025</v>
      </c>
      <c r="C535" s="10">
        <v>7442.43</v>
      </c>
    </row>
    <row r="536" spans="1:3" hidden="1" outlineLevel="1">
      <c r="A536" s="12"/>
      <c r="B536" s="9" t="s">
        <v>1307</v>
      </c>
      <c r="C536" s="10">
        <v>5076.6499999999996</v>
      </c>
    </row>
    <row r="537" spans="1:3" hidden="1" outlineLevel="1">
      <c r="A537" s="12"/>
      <c r="B537" s="9" t="s">
        <v>1032</v>
      </c>
      <c r="C537" s="10">
        <v>4869.8599999999997</v>
      </c>
    </row>
    <row r="538" spans="1:3" hidden="1" outlineLevel="1">
      <c r="A538" s="12"/>
      <c r="B538" s="9" t="s">
        <v>1033</v>
      </c>
      <c r="C538" s="10">
        <v>4818.18</v>
      </c>
    </row>
    <row r="539" spans="1:3" ht="27.95" hidden="1" outlineLevel="1">
      <c r="A539" s="12"/>
      <c r="B539" s="9" t="s">
        <v>1308</v>
      </c>
      <c r="C539" s="10">
        <v>4471</v>
      </c>
    </row>
    <row r="540" spans="1:3" ht="27.95" hidden="1" outlineLevel="1">
      <c r="A540" s="12"/>
      <c r="B540" s="9" t="s">
        <v>1309</v>
      </c>
      <c r="C540" s="10">
        <v>4290.26</v>
      </c>
    </row>
    <row r="541" spans="1:3" ht="27.95" hidden="1" outlineLevel="1">
      <c r="A541" s="12"/>
      <c r="B541" s="9" t="s">
        <v>1310</v>
      </c>
      <c r="C541" s="10">
        <v>3324.89</v>
      </c>
    </row>
    <row r="542" spans="1:3" hidden="1" outlineLevel="1">
      <c r="A542" s="12"/>
      <c r="B542" s="9" t="s">
        <v>1311</v>
      </c>
      <c r="C542" s="10">
        <v>3276.93</v>
      </c>
    </row>
    <row r="543" spans="1:3" hidden="1" outlineLevel="1">
      <c r="A543" s="12"/>
      <c r="B543" s="9" t="s">
        <v>1312</v>
      </c>
      <c r="C543" s="10">
        <v>3188.35</v>
      </c>
    </row>
    <row r="544" spans="1:3" hidden="1" outlineLevel="1">
      <c r="A544" s="12"/>
      <c r="B544" s="9" t="s">
        <v>1040</v>
      </c>
      <c r="C544" s="10">
        <v>2877.59</v>
      </c>
    </row>
    <row r="545" spans="1:3" ht="27.95" hidden="1" outlineLevel="1">
      <c r="A545" s="12"/>
      <c r="B545" s="9" t="s">
        <v>1042</v>
      </c>
      <c r="C545" s="10">
        <v>2663.2200000000003</v>
      </c>
    </row>
    <row r="546" spans="1:3" hidden="1" outlineLevel="1">
      <c r="A546" s="12"/>
      <c r="B546" s="9" t="s">
        <v>890</v>
      </c>
      <c r="C546" s="10">
        <v>2521</v>
      </c>
    </row>
    <row r="547" spans="1:3" hidden="1" outlineLevel="1">
      <c r="A547" s="12"/>
      <c r="B547" s="9" t="s">
        <v>1313</v>
      </c>
      <c r="C547" s="10">
        <v>2500</v>
      </c>
    </row>
    <row r="548" spans="1:3" ht="27.95" hidden="1" outlineLevel="1">
      <c r="A548" s="12"/>
      <c r="B548" s="9" t="s">
        <v>1314</v>
      </c>
      <c r="C548" s="10">
        <v>2059.6</v>
      </c>
    </row>
    <row r="549" spans="1:3" ht="27.95" hidden="1" outlineLevel="1">
      <c r="A549" s="12"/>
      <c r="B549" s="9" t="s">
        <v>1315</v>
      </c>
      <c r="C549" s="10">
        <v>1858.27</v>
      </c>
    </row>
    <row r="550" spans="1:3" hidden="1" outlineLevel="1">
      <c r="A550" s="12"/>
      <c r="B550" s="9" t="s">
        <v>1316</v>
      </c>
      <c r="C550" s="10">
        <v>1855.75</v>
      </c>
    </row>
    <row r="551" spans="1:3" ht="27.95" hidden="1" outlineLevel="1">
      <c r="A551" s="12"/>
      <c r="B551" s="9" t="s">
        <v>939</v>
      </c>
      <c r="C551" s="10">
        <v>1751.0700000000002</v>
      </c>
    </row>
    <row r="552" spans="1:3" hidden="1" outlineLevel="1">
      <c r="A552" s="12"/>
      <c r="B552" s="9" t="s">
        <v>937</v>
      </c>
      <c r="C552" s="10">
        <v>1699.96</v>
      </c>
    </row>
    <row r="553" spans="1:3" ht="27.95" hidden="1" outlineLevel="1">
      <c r="A553" s="12"/>
      <c r="B553" s="9" t="s">
        <v>1108</v>
      </c>
      <c r="C553" s="10">
        <v>1552.89</v>
      </c>
    </row>
    <row r="554" spans="1:3" hidden="1" outlineLevel="1">
      <c r="A554" s="12"/>
      <c r="B554" s="9" t="s">
        <v>1317</v>
      </c>
      <c r="C554" s="10">
        <v>1353.59</v>
      </c>
    </row>
    <row r="555" spans="1:3" hidden="1" outlineLevel="1">
      <c r="A555" s="12"/>
      <c r="B555" s="9" t="s">
        <v>1318</v>
      </c>
      <c r="C555" s="10">
        <v>1288.93</v>
      </c>
    </row>
    <row r="556" spans="1:3" hidden="1" outlineLevel="1">
      <c r="A556" s="12"/>
      <c r="B556" s="9" t="s">
        <v>1319</v>
      </c>
      <c r="C556" s="10">
        <v>1147.6199999999999</v>
      </c>
    </row>
    <row r="557" spans="1:3" ht="27.95" hidden="1" outlineLevel="1">
      <c r="A557" s="12"/>
      <c r="B557" s="9" t="s">
        <v>927</v>
      </c>
      <c r="C557" s="10">
        <v>1140.1400000000001</v>
      </c>
    </row>
    <row r="558" spans="1:3" hidden="1" outlineLevel="1">
      <c r="A558" s="12"/>
      <c r="B558" s="9" t="s">
        <v>910</v>
      </c>
      <c r="C558" s="10">
        <v>1106.48</v>
      </c>
    </row>
    <row r="559" spans="1:3" hidden="1" outlineLevel="1">
      <c r="A559" s="12"/>
      <c r="B559" s="9" t="s">
        <v>1320</v>
      </c>
      <c r="C559" s="10">
        <v>1037.18</v>
      </c>
    </row>
    <row r="560" spans="1:3" ht="27.95" hidden="1" outlineLevel="1">
      <c r="A560" s="12"/>
      <c r="B560" s="9" t="s">
        <v>1321</v>
      </c>
      <c r="C560" s="10">
        <v>1035</v>
      </c>
    </row>
    <row r="561" spans="1:3" hidden="1" outlineLevel="1">
      <c r="A561" s="12"/>
      <c r="B561" s="9" t="s">
        <v>1160</v>
      </c>
      <c r="C561" s="10">
        <v>953.82</v>
      </c>
    </row>
    <row r="562" spans="1:3" hidden="1" outlineLevel="1">
      <c r="A562" s="12"/>
      <c r="B562" s="9" t="s">
        <v>1156</v>
      </c>
      <c r="C562" s="10">
        <v>923.36</v>
      </c>
    </row>
    <row r="563" spans="1:3" hidden="1" outlineLevel="1">
      <c r="A563" s="12"/>
      <c r="B563" s="9" t="s">
        <v>1322</v>
      </c>
      <c r="C563" s="10">
        <v>863.68</v>
      </c>
    </row>
    <row r="564" spans="1:3" hidden="1" outlineLevel="1">
      <c r="A564" s="12"/>
      <c r="B564" s="9" t="s">
        <v>1323</v>
      </c>
      <c r="C564" s="10">
        <v>853.61</v>
      </c>
    </row>
    <row r="565" spans="1:3" ht="27.95" hidden="1" outlineLevel="1">
      <c r="A565" s="12"/>
      <c r="B565" s="9" t="s">
        <v>1324</v>
      </c>
      <c r="C565" s="10">
        <v>842.22</v>
      </c>
    </row>
    <row r="566" spans="1:3" hidden="1" outlineLevel="1">
      <c r="A566" s="12"/>
      <c r="B566" s="9" t="s">
        <v>1325</v>
      </c>
      <c r="C566" s="10">
        <v>772.12</v>
      </c>
    </row>
    <row r="567" spans="1:3" hidden="1" outlineLevel="1">
      <c r="A567" s="12"/>
      <c r="B567" s="9" t="s">
        <v>1326</v>
      </c>
      <c r="C567" s="10">
        <v>758.3</v>
      </c>
    </row>
    <row r="568" spans="1:3" ht="27.95" hidden="1" outlineLevel="1">
      <c r="A568" s="12"/>
      <c r="B568" s="9" t="s">
        <v>1327</v>
      </c>
      <c r="C568" s="10">
        <v>630.88</v>
      </c>
    </row>
    <row r="569" spans="1:3" hidden="1" outlineLevel="1">
      <c r="A569" s="12"/>
      <c r="B569" s="9" t="s">
        <v>1328</v>
      </c>
      <c r="C569" s="10">
        <v>529.59</v>
      </c>
    </row>
    <row r="570" spans="1:3" ht="27.95" hidden="1" outlineLevel="1">
      <c r="A570" s="12"/>
      <c r="B570" s="9" t="s">
        <v>1152</v>
      </c>
      <c r="C570" s="10">
        <v>478.94</v>
      </c>
    </row>
    <row r="571" spans="1:3" ht="27.95" hidden="1" outlineLevel="1">
      <c r="A571" s="12"/>
      <c r="B571" s="9" t="s">
        <v>1329</v>
      </c>
      <c r="C571" s="10">
        <v>433.61</v>
      </c>
    </row>
    <row r="572" spans="1:3" ht="27.95" hidden="1" outlineLevel="1">
      <c r="A572" s="12"/>
      <c r="B572" s="9" t="s">
        <v>945</v>
      </c>
      <c r="C572" s="10">
        <v>392.03000000000003</v>
      </c>
    </row>
    <row r="573" spans="1:3" hidden="1" outlineLevel="1">
      <c r="A573" s="12"/>
      <c r="B573" s="9" t="s">
        <v>1330</v>
      </c>
      <c r="C573" s="10">
        <v>266.95</v>
      </c>
    </row>
    <row r="574" spans="1:3" ht="27.95" hidden="1" outlineLevel="1">
      <c r="A574" s="12"/>
      <c r="B574" s="9" t="s">
        <v>1043</v>
      </c>
      <c r="C574" s="10">
        <v>266.88</v>
      </c>
    </row>
    <row r="575" spans="1:3" hidden="1" outlineLevel="1">
      <c r="A575" s="12"/>
      <c r="B575" s="9" t="s">
        <v>1331</v>
      </c>
      <c r="C575" s="10">
        <v>201.11</v>
      </c>
    </row>
    <row r="576" spans="1:3" hidden="1" outlineLevel="1">
      <c r="A576" s="12"/>
      <c r="B576" s="9" t="s">
        <v>1332</v>
      </c>
      <c r="C576" s="10">
        <v>29.95</v>
      </c>
    </row>
    <row r="577" spans="1:3" ht="27.95" hidden="1" outlineLevel="1">
      <c r="A577" s="12"/>
      <c r="B577" s="9" t="s">
        <v>1333</v>
      </c>
      <c r="C577" s="10">
        <v>0</v>
      </c>
    </row>
    <row r="578" spans="1:3" collapsed="1">
      <c r="A578" s="12"/>
      <c r="B578" s="13"/>
      <c r="C578" s="14">
        <f>SUM(C434:C453)</f>
        <v>22725070.409999996</v>
      </c>
    </row>
    <row r="579" spans="1:3">
      <c r="A579" s="12"/>
      <c r="B579" s="9"/>
      <c r="C579" s="10"/>
    </row>
    <row r="580" spans="1:3" ht="42">
      <c r="A580" s="47" t="s">
        <v>12</v>
      </c>
      <c r="B580" s="9" t="s">
        <v>1334</v>
      </c>
      <c r="C580" s="10">
        <v>4241906.04</v>
      </c>
    </row>
    <row r="581" spans="1:3" ht="27.95">
      <c r="A581" s="47"/>
      <c r="B581" s="9" t="s">
        <v>1335</v>
      </c>
      <c r="C581" s="10">
        <v>4193490.48</v>
      </c>
    </row>
    <row r="582" spans="1:3" ht="27.95">
      <c r="A582" s="47"/>
      <c r="B582" s="9" t="s">
        <v>1336</v>
      </c>
      <c r="C582" s="10">
        <v>3908869.28</v>
      </c>
    </row>
    <row r="583" spans="1:3" ht="27.95">
      <c r="A583" s="47"/>
      <c r="B583" s="9" t="s">
        <v>1337</v>
      </c>
      <c r="C583" s="10">
        <v>1935068.99</v>
      </c>
    </row>
    <row r="584" spans="1:3" ht="27.95">
      <c r="A584" s="47"/>
      <c r="B584" s="9" t="s">
        <v>1338</v>
      </c>
      <c r="C584" s="10">
        <v>1857111.33</v>
      </c>
    </row>
    <row r="585" spans="1:3" ht="27.95">
      <c r="A585" s="47"/>
      <c r="B585" s="9" t="s">
        <v>1339</v>
      </c>
      <c r="C585" s="10">
        <v>1541927.19</v>
      </c>
    </row>
    <row r="586" spans="1:3" ht="27.95">
      <c r="A586" s="47"/>
      <c r="B586" s="9" t="s">
        <v>1340</v>
      </c>
      <c r="C586" s="10">
        <v>965171.88</v>
      </c>
    </row>
    <row r="587" spans="1:3">
      <c r="A587" s="47"/>
      <c r="B587" s="9" t="s">
        <v>1341</v>
      </c>
      <c r="C587" s="10">
        <v>711818.23</v>
      </c>
    </row>
    <row r="588" spans="1:3">
      <c r="A588" s="47"/>
      <c r="B588" s="9" t="s">
        <v>842</v>
      </c>
      <c r="C588" s="10">
        <v>492681.83</v>
      </c>
    </row>
    <row r="589" spans="1:3" ht="27.95">
      <c r="A589" s="47"/>
      <c r="B589" s="9" t="s">
        <v>1342</v>
      </c>
      <c r="C589" s="10">
        <v>406755.05</v>
      </c>
    </row>
    <row r="590" spans="1:3" ht="42">
      <c r="A590" s="47"/>
      <c r="B590" s="9" t="s">
        <v>1343</v>
      </c>
      <c r="C590" s="10">
        <v>239542.93</v>
      </c>
    </row>
    <row r="591" spans="1:3" ht="27.95">
      <c r="A591" s="47"/>
      <c r="B591" s="9" t="s">
        <v>1344</v>
      </c>
      <c r="C591" s="10">
        <v>234595.27</v>
      </c>
    </row>
    <row r="592" spans="1:3" ht="27.95">
      <c r="A592" s="47"/>
      <c r="B592" s="9" t="s">
        <v>1345</v>
      </c>
      <c r="C592" s="10">
        <v>215351.41</v>
      </c>
    </row>
    <row r="593" spans="1:3" ht="42">
      <c r="A593" s="47"/>
      <c r="B593" s="9" t="s">
        <v>1346</v>
      </c>
      <c r="C593" s="10">
        <v>208998.47</v>
      </c>
    </row>
    <row r="594" spans="1:3" ht="27.95">
      <c r="A594" s="47"/>
      <c r="B594" s="9" t="s">
        <v>1347</v>
      </c>
      <c r="C594" s="10">
        <v>208827.38</v>
      </c>
    </row>
    <row r="595" spans="1:3" ht="27.95">
      <c r="A595" s="47"/>
      <c r="B595" s="9" t="s">
        <v>1348</v>
      </c>
      <c r="C595" s="10">
        <v>201754.56</v>
      </c>
    </row>
    <row r="596" spans="1:3" ht="27.95">
      <c r="A596" s="47"/>
      <c r="B596" s="9" t="s">
        <v>1349</v>
      </c>
      <c r="C596" s="10">
        <v>184684.1</v>
      </c>
    </row>
    <row r="597" spans="1:3" ht="27.95">
      <c r="A597" s="47"/>
      <c r="B597" s="9" t="s">
        <v>1350</v>
      </c>
      <c r="C597" s="10">
        <v>170420.25</v>
      </c>
    </row>
    <row r="598" spans="1:3" ht="27.95">
      <c r="A598" s="47"/>
      <c r="B598" s="9" t="s">
        <v>1351</v>
      </c>
      <c r="C598" s="10">
        <v>163121.51999999999</v>
      </c>
    </row>
    <row r="599" spans="1:3" ht="27.95">
      <c r="A599" s="47"/>
      <c r="B599" s="9" t="s">
        <v>1352</v>
      </c>
      <c r="C599" s="10">
        <v>143595.56</v>
      </c>
    </row>
    <row r="600" spans="1:3" ht="14.45" hidden="1" customHeight="1" outlineLevel="1">
      <c r="A600" s="47"/>
      <c r="B600" s="9" t="s">
        <v>1353</v>
      </c>
      <c r="C600" s="10">
        <v>141248.57</v>
      </c>
    </row>
    <row r="601" spans="1:3" ht="14.45" hidden="1" customHeight="1" outlineLevel="1">
      <c r="A601" s="47"/>
      <c r="B601" s="9" t="s">
        <v>1354</v>
      </c>
      <c r="C601" s="10">
        <v>134432.43</v>
      </c>
    </row>
    <row r="602" spans="1:3" ht="14.45" hidden="1" customHeight="1" outlineLevel="1">
      <c r="A602" s="47"/>
      <c r="B602" s="9" t="s">
        <v>1355</v>
      </c>
      <c r="C602" s="10">
        <v>128272.56</v>
      </c>
    </row>
    <row r="603" spans="1:3" ht="29.1" hidden="1" customHeight="1" outlineLevel="1">
      <c r="A603" s="47"/>
      <c r="B603" s="9" t="s">
        <v>1356</v>
      </c>
      <c r="C603" s="10">
        <v>126850.15</v>
      </c>
    </row>
    <row r="604" spans="1:3" ht="14.45" hidden="1" customHeight="1" outlineLevel="1">
      <c r="A604" s="47"/>
      <c r="B604" s="9" t="s">
        <v>1357</v>
      </c>
      <c r="C604" s="10">
        <v>111428.74</v>
      </c>
    </row>
    <row r="605" spans="1:3" ht="29.1" hidden="1" customHeight="1" outlineLevel="1">
      <c r="A605" s="47"/>
      <c r="B605" s="9" t="s">
        <v>1358</v>
      </c>
      <c r="C605" s="10">
        <v>106943.42</v>
      </c>
    </row>
    <row r="606" spans="1:3" ht="29.1" hidden="1" customHeight="1" outlineLevel="1">
      <c r="A606" s="47"/>
      <c r="B606" s="9" t="s">
        <v>1359</v>
      </c>
      <c r="C606" s="10">
        <v>101577.8</v>
      </c>
    </row>
    <row r="607" spans="1:3" ht="14.45" hidden="1" customHeight="1" outlineLevel="1">
      <c r="A607" s="47"/>
      <c r="B607" s="9" t="s">
        <v>976</v>
      </c>
      <c r="C607" s="10">
        <v>99449.77</v>
      </c>
    </row>
    <row r="608" spans="1:3" ht="43.5" hidden="1" customHeight="1" outlineLevel="1">
      <c r="A608" s="47"/>
      <c r="B608" s="9" t="s">
        <v>1360</v>
      </c>
      <c r="C608" s="10">
        <v>78185.47</v>
      </c>
    </row>
    <row r="609" spans="1:3" ht="14.45" hidden="1" customHeight="1" outlineLevel="1">
      <c r="A609" s="47"/>
      <c r="B609" s="9" t="s">
        <v>1361</v>
      </c>
      <c r="C609" s="10">
        <v>72263.94</v>
      </c>
    </row>
    <row r="610" spans="1:3" ht="29.1" hidden="1" customHeight="1" outlineLevel="1">
      <c r="A610" s="47"/>
      <c r="B610" s="9" t="s">
        <v>1062</v>
      </c>
      <c r="C610" s="10">
        <v>67841.08</v>
      </c>
    </row>
    <row r="611" spans="1:3" ht="29.1" hidden="1" customHeight="1" outlineLevel="1">
      <c r="A611" s="47"/>
      <c r="B611" s="9" t="s">
        <v>1362</v>
      </c>
      <c r="C611" s="10">
        <v>64254.87</v>
      </c>
    </row>
    <row r="612" spans="1:3" ht="14.45" hidden="1" customHeight="1" outlineLevel="1">
      <c r="A612" s="47"/>
      <c r="B612" s="9" t="s">
        <v>1363</v>
      </c>
      <c r="C612" s="10">
        <v>58382.8</v>
      </c>
    </row>
    <row r="613" spans="1:3" ht="29.1" hidden="1" customHeight="1" outlineLevel="1">
      <c r="A613" s="47"/>
      <c r="B613" s="9" t="s">
        <v>1364</v>
      </c>
      <c r="C613" s="10">
        <v>54307.46</v>
      </c>
    </row>
    <row r="614" spans="1:3" ht="29.1" hidden="1" customHeight="1" outlineLevel="1">
      <c r="A614" s="47"/>
      <c r="B614" s="9" t="s">
        <v>1074</v>
      </c>
      <c r="C614" s="10">
        <v>52710.05</v>
      </c>
    </row>
    <row r="615" spans="1:3" ht="14.45" hidden="1" customHeight="1" outlineLevel="1">
      <c r="A615" s="47"/>
      <c r="B615" s="9" t="s">
        <v>1365</v>
      </c>
      <c r="C615" s="10">
        <v>46761.13</v>
      </c>
    </row>
    <row r="616" spans="1:3" ht="14.45" hidden="1" customHeight="1" outlineLevel="1">
      <c r="A616" s="47"/>
      <c r="B616" s="9" t="s">
        <v>1366</v>
      </c>
      <c r="C616" s="10">
        <v>32404.61</v>
      </c>
    </row>
    <row r="617" spans="1:3" ht="29.1" hidden="1" customHeight="1" outlineLevel="1">
      <c r="A617" s="47"/>
      <c r="B617" s="9" t="s">
        <v>1294</v>
      </c>
      <c r="C617" s="10">
        <v>31308.03</v>
      </c>
    </row>
    <row r="618" spans="1:3" ht="14.45" hidden="1" customHeight="1" outlineLevel="1">
      <c r="A618" s="47"/>
      <c r="B618" s="9" t="s">
        <v>1025</v>
      </c>
      <c r="C618" s="10">
        <v>29769.77</v>
      </c>
    </row>
    <row r="619" spans="1:3" ht="29.1" hidden="1" customHeight="1" outlineLevel="1">
      <c r="A619" s="47"/>
      <c r="B619" s="9" t="s">
        <v>1367</v>
      </c>
      <c r="C619" s="10">
        <v>27832</v>
      </c>
    </row>
    <row r="620" spans="1:3" ht="29.1" hidden="1" customHeight="1" outlineLevel="1">
      <c r="A620" s="47"/>
      <c r="B620" s="9" t="s">
        <v>1368</v>
      </c>
      <c r="C620" s="10">
        <v>27742.400000000001</v>
      </c>
    </row>
    <row r="621" spans="1:3" ht="29.1" hidden="1" customHeight="1" outlineLevel="1">
      <c r="A621" s="47"/>
      <c r="B621" s="9" t="s">
        <v>1369</v>
      </c>
      <c r="C621" s="10">
        <v>27087.7</v>
      </c>
    </row>
    <row r="622" spans="1:3" ht="29.1" hidden="1" customHeight="1" outlineLevel="1">
      <c r="A622" s="47"/>
      <c r="B622" s="9" t="s">
        <v>1370</v>
      </c>
      <c r="C622" s="10">
        <v>26493.26</v>
      </c>
    </row>
    <row r="623" spans="1:3" ht="14.45" hidden="1" customHeight="1" outlineLevel="1">
      <c r="A623" s="47"/>
      <c r="B623" s="9" t="s">
        <v>1371</v>
      </c>
      <c r="C623" s="10">
        <v>19961.09</v>
      </c>
    </row>
    <row r="624" spans="1:3" ht="14.45" hidden="1" customHeight="1" outlineLevel="1">
      <c r="A624" s="47"/>
      <c r="B624" s="9" t="s">
        <v>1067</v>
      </c>
      <c r="C624" s="10">
        <v>19760</v>
      </c>
    </row>
    <row r="625" spans="1:3" ht="29.1" hidden="1" customHeight="1" outlineLevel="1">
      <c r="A625" s="47"/>
      <c r="B625" s="9" t="s">
        <v>1372</v>
      </c>
      <c r="C625" s="10">
        <v>18000</v>
      </c>
    </row>
    <row r="626" spans="1:3" ht="29.1" hidden="1" customHeight="1" outlineLevel="1">
      <c r="A626" s="47"/>
      <c r="B626" s="9" t="s">
        <v>1112</v>
      </c>
      <c r="C626" s="10">
        <v>16645.28</v>
      </c>
    </row>
    <row r="627" spans="1:3" ht="29.1" hidden="1" customHeight="1" outlineLevel="1">
      <c r="A627" s="47"/>
      <c r="B627" s="9" t="s">
        <v>1373</v>
      </c>
      <c r="C627" s="10">
        <v>16123</v>
      </c>
    </row>
    <row r="628" spans="1:3" ht="29.1" hidden="1" customHeight="1" outlineLevel="1">
      <c r="A628" s="47"/>
      <c r="B628" s="9" t="s">
        <v>1374</v>
      </c>
      <c r="C628" s="10">
        <v>15120.4</v>
      </c>
    </row>
    <row r="629" spans="1:3" ht="29.1" hidden="1" customHeight="1" outlineLevel="1">
      <c r="A629" s="47"/>
      <c r="B629" s="9" t="s">
        <v>1375</v>
      </c>
      <c r="C629" s="10">
        <v>14414.69</v>
      </c>
    </row>
    <row r="630" spans="1:3" ht="29.1" hidden="1" customHeight="1" outlineLevel="1">
      <c r="A630" s="47"/>
      <c r="B630" s="9" t="s">
        <v>1376</v>
      </c>
      <c r="C630" s="10">
        <v>12464.07</v>
      </c>
    </row>
    <row r="631" spans="1:3" ht="14.45" hidden="1" customHeight="1" outlineLevel="1">
      <c r="A631" s="47"/>
      <c r="B631" s="9" t="s">
        <v>1377</v>
      </c>
      <c r="C631" s="10">
        <v>12021.12</v>
      </c>
    </row>
    <row r="632" spans="1:3" ht="29.1" hidden="1" customHeight="1" outlineLevel="1">
      <c r="A632" s="47"/>
      <c r="B632" s="9" t="s">
        <v>1378</v>
      </c>
      <c r="C632" s="10">
        <v>8776.18</v>
      </c>
    </row>
    <row r="633" spans="1:3" ht="29.1" hidden="1" customHeight="1" outlineLevel="1">
      <c r="A633" s="47"/>
      <c r="B633" s="9" t="s">
        <v>1379</v>
      </c>
      <c r="C633" s="10">
        <v>7666.58</v>
      </c>
    </row>
    <row r="634" spans="1:3" ht="14.45" hidden="1" customHeight="1" outlineLevel="1">
      <c r="A634" s="47"/>
      <c r="B634" s="9" t="s">
        <v>890</v>
      </c>
      <c r="C634" s="10">
        <v>7563.01</v>
      </c>
    </row>
    <row r="635" spans="1:3" ht="29.1" hidden="1" customHeight="1" outlineLevel="1">
      <c r="A635" s="47"/>
      <c r="B635" s="9" t="s">
        <v>1380</v>
      </c>
      <c r="C635" s="10">
        <v>7158.87</v>
      </c>
    </row>
    <row r="636" spans="1:3" ht="14.45" hidden="1" customHeight="1" outlineLevel="1">
      <c r="A636" s="47"/>
      <c r="B636" s="9" t="s">
        <v>1381</v>
      </c>
      <c r="C636" s="10">
        <v>6963.43</v>
      </c>
    </row>
    <row r="637" spans="1:3" ht="14.45" hidden="1" customHeight="1" outlineLevel="1">
      <c r="A637" s="47"/>
      <c r="B637" s="9" t="s">
        <v>930</v>
      </c>
      <c r="C637" s="10">
        <v>6425.51</v>
      </c>
    </row>
    <row r="638" spans="1:3" ht="14.45" hidden="1" customHeight="1" outlineLevel="1">
      <c r="A638" s="47"/>
      <c r="B638" s="9" t="s">
        <v>1382</v>
      </c>
      <c r="C638" s="10">
        <v>4920.87</v>
      </c>
    </row>
    <row r="639" spans="1:3" ht="29.1" hidden="1" customHeight="1" outlineLevel="1">
      <c r="A639" s="47"/>
      <c r="B639" s="9" t="s">
        <v>1383</v>
      </c>
      <c r="C639" s="10">
        <v>4769.4399999999996</v>
      </c>
    </row>
    <row r="640" spans="1:3" ht="14.45" hidden="1" customHeight="1" outlineLevel="1">
      <c r="A640" s="47"/>
      <c r="B640" s="9" t="s">
        <v>1384</v>
      </c>
      <c r="C640" s="10">
        <v>4291.92</v>
      </c>
    </row>
    <row r="641" spans="1:3" ht="14.45" hidden="1" customHeight="1" outlineLevel="1">
      <c r="A641" s="47"/>
      <c r="B641" s="9" t="s">
        <v>1385</v>
      </c>
      <c r="C641" s="10">
        <v>3465.14</v>
      </c>
    </row>
    <row r="642" spans="1:3" ht="14.45" hidden="1" customHeight="1" outlineLevel="1">
      <c r="A642" s="47"/>
      <c r="B642" s="9" t="s">
        <v>1386</v>
      </c>
      <c r="C642" s="10">
        <v>3000</v>
      </c>
    </row>
    <row r="643" spans="1:3" ht="14.45" hidden="1" customHeight="1" outlineLevel="1">
      <c r="A643" s="47"/>
      <c r="B643" s="9" t="s">
        <v>925</v>
      </c>
      <c r="C643" s="10">
        <v>2644.59</v>
      </c>
    </row>
    <row r="644" spans="1:3" ht="14.45" hidden="1" customHeight="1" outlineLevel="1">
      <c r="A644" s="47"/>
      <c r="B644" s="9" t="s">
        <v>1387</v>
      </c>
      <c r="C644" s="10">
        <v>2607.0500000000002</v>
      </c>
    </row>
    <row r="645" spans="1:3" ht="14.45" hidden="1" customHeight="1" outlineLevel="1">
      <c r="A645" s="47"/>
      <c r="B645" s="9" t="s">
        <v>902</v>
      </c>
      <c r="C645" s="10">
        <v>2559.77</v>
      </c>
    </row>
    <row r="646" spans="1:3" ht="14.45" hidden="1" customHeight="1" outlineLevel="1">
      <c r="A646" s="47"/>
      <c r="B646" s="9" t="s">
        <v>1319</v>
      </c>
      <c r="C646" s="10">
        <v>2295.25</v>
      </c>
    </row>
    <row r="647" spans="1:3" ht="14.45" hidden="1" customHeight="1" outlineLevel="1">
      <c r="A647" s="47"/>
      <c r="B647" s="9" t="s">
        <v>917</v>
      </c>
      <c r="C647" s="10">
        <v>1856.61</v>
      </c>
    </row>
    <row r="648" spans="1:3" ht="14.45" hidden="1" customHeight="1" outlineLevel="1">
      <c r="A648" s="47"/>
      <c r="B648" s="9" t="s">
        <v>1388</v>
      </c>
      <c r="C648" s="10">
        <v>1534.15</v>
      </c>
    </row>
    <row r="649" spans="1:3" ht="29.1" hidden="1" customHeight="1" outlineLevel="1">
      <c r="A649" s="47"/>
      <c r="B649" s="9" t="s">
        <v>1163</v>
      </c>
      <c r="C649" s="10">
        <v>626.75</v>
      </c>
    </row>
    <row r="650" spans="1:3" ht="29.1" hidden="1" customHeight="1" outlineLevel="1">
      <c r="A650" s="47"/>
      <c r="B650" s="9" t="s">
        <v>1389</v>
      </c>
      <c r="C650" s="10">
        <v>574.20000000000005</v>
      </c>
    </row>
    <row r="651" spans="1:3" ht="29.1" hidden="1" customHeight="1" outlineLevel="1">
      <c r="A651" s="47"/>
      <c r="B651" s="9" t="s">
        <v>1042</v>
      </c>
      <c r="C651" s="10">
        <v>443.87</v>
      </c>
    </row>
    <row r="652" spans="1:3" ht="14.45" hidden="1" customHeight="1" outlineLevel="1">
      <c r="A652" s="47"/>
      <c r="B652" s="9" t="s">
        <v>1390</v>
      </c>
      <c r="C652" s="10">
        <v>375</v>
      </c>
    </row>
    <row r="653" spans="1:3" ht="14.45" hidden="1" customHeight="1" outlineLevel="1">
      <c r="A653" s="47"/>
      <c r="B653" s="9" t="s">
        <v>920</v>
      </c>
      <c r="C653" s="10">
        <v>270</v>
      </c>
    </row>
    <row r="654" spans="1:3" ht="14.45" hidden="1" customHeight="1" outlineLevel="1">
      <c r="A654" s="47"/>
      <c r="B654" s="9" t="s">
        <v>1391</v>
      </c>
      <c r="C654" s="10">
        <v>231.11</v>
      </c>
    </row>
    <row r="655" spans="1:3" collapsed="1">
      <c r="A655" s="12"/>
      <c r="B655" s="9"/>
      <c r="C655" s="10"/>
    </row>
    <row r="656" spans="1:3">
      <c r="A656" s="12"/>
      <c r="B656" s="9"/>
      <c r="C656" s="10"/>
    </row>
    <row r="657" spans="1:3" ht="27.95">
      <c r="A657" s="47" t="s">
        <v>9</v>
      </c>
      <c r="B657" s="9" t="s">
        <v>1392</v>
      </c>
      <c r="C657" s="10">
        <v>1815954.5100000002</v>
      </c>
    </row>
    <row r="658" spans="1:3">
      <c r="A658" s="47"/>
      <c r="B658" s="9" t="s">
        <v>1393</v>
      </c>
      <c r="C658" s="10">
        <v>1303454.9100000001</v>
      </c>
    </row>
    <row r="659" spans="1:3">
      <c r="A659" s="47"/>
      <c r="B659" s="9" t="s">
        <v>1394</v>
      </c>
      <c r="C659" s="10">
        <v>879266.86</v>
      </c>
    </row>
    <row r="660" spans="1:3">
      <c r="A660" s="47"/>
      <c r="B660" s="9" t="s">
        <v>1231</v>
      </c>
      <c r="C660" s="10">
        <v>848641.73</v>
      </c>
    </row>
    <row r="661" spans="1:3" ht="27.95">
      <c r="A661" s="47"/>
      <c r="B661" s="9" t="s">
        <v>1395</v>
      </c>
      <c r="C661" s="10">
        <v>672552.15</v>
      </c>
    </row>
    <row r="662" spans="1:3" ht="27.95">
      <c r="A662" s="47"/>
      <c r="B662" s="9" t="s">
        <v>1396</v>
      </c>
      <c r="C662" s="10">
        <v>671858.77</v>
      </c>
    </row>
    <row r="663" spans="1:3" ht="27.95">
      <c r="A663" s="47"/>
      <c r="B663" s="9" t="s">
        <v>1397</v>
      </c>
      <c r="C663" s="10">
        <v>607189.93000000005</v>
      </c>
    </row>
    <row r="664" spans="1:3" ht="42">
      <c r="A664" s="47"/>
      <c r="B664" s="9" t="s">
        <v>1398</v>
      </c>
      <c r="C664" s="10">
        <v>591497</v>
      </c>
    </row>
    <row r="665" spans="1:3">
      <c r="A665" s="47"/>
      <c r="B665" s="9" t="s">
        <v>1399</v>
      </c>
      <c r="C665" s="10">
        <v>569004.97</v>
      </c>
    </row>
    <row r="666" spans="1:3" ht="27.95">
      <c r="A666" s="47"/>
      <c r="B666" s="9" t="s">
        <v>1400</v>
      </c>
      <c r="C666" s="10">
        <v>509001.49</v>
      </c>
    </row>
    <row r="667" spans="1:3" ht="27.95">
      <c r="A667" s="47"/>
      <c r="B667" s="9" t="s">
        <v>1401</v>
      </c>
      <c r="C667" s="10">
        <v>506233.86</v>
      </c>
    </row>
    <row r="668" spans="1:3">
      <c r="A668" s="47"/>
      <c r="B668" s="9" t="s">
        <v>1262</v>
      </c>
      <c r="C668" s="10">
        <v>414008.52</v>
      </c>
    </row>
    <row r="669" spans="1:3" ht="27.95">
      <c r="A669" s="47"/>
      <c r="B669" s="9" t="s">
        <v>1402</v>
      </c>
      <c r="C669" s="10">
        <v>412932.12</v>
      </c>
    </row>
    <row r="670" spans="1:3" ht="56.1">
      <c r="A670" s="47"/>
      <c r="B670" s="9" t="s">
        <v>1403</v>
      </c>
      <c r="C670" s="10">
        <v>397660.18</v>
      </c>
    </row>
    <row r="671" spans="1:3" ht="27.95">
      <c r="A671" s="47"/>
      <c r="B671" s="9" t="s">
        <v>1404</v>
      </c>
      <c r="C671" s="10">
        <v>330000</v>
      </c>
    </row>
    <row r="672" spans="1:3" ht="27.95">
      <c r="A672" s="47"/>
      <c r="B672" s="9" t="s">
        <v>1405</v>
      </c>
      <c r="C672" s="10">
        <v>329857.44</v>
      </c>
    </row>
    <row r="673" spans="1:3" ht="27.95">
      <c r="A673" s="47"/>
      <c r="B673" s="9" t="s">
        <v>1406</v>
      </c>
      <c r="C673" s="10">
        <v>305013.77</v>
      </c>
    </row>
    <row r="674" spans="1:3">
      <c r="A674" s="47"/>
      <c r="B674" s="9" t="s">
        <v>1407</v>
      </c>
      <c r="C674" s="10">
        <v>297890.28000000003</v>
      </c>
    </row>
    <row r="675" spans="1:3" ht="27.95">
      <c r="A675" s="47"/>
      <c r="B675" s="9" t="s">
        <v>1408</v>
      </c>
      <c r="C675" s="10">
        <v>288214.51</v>
      </c>
    </row>
    <row r="676" spans="1:3" ht="27.95">
      <c r="A676" s="47"/>
      <c r="B676" s="9" t="s">
        <v>1409</v>
      </c>
      <c r="C676" s="10">
        <v>267770.34999999998</v>
      </c>
    </row>
    <row r="677" spans="1:3" hidden="1" outlineLevel="1">
      <c r="A677" s="12"/>
      <c r="B677" s="9" t="s">
        <v>1410</v>
      </c>
      <c r="C677" s="10">
        <v>261437.09999999998</v>
      </c>
    </row>
    <row r="678" spans="1:3" ht="27.95" hidden="1" outlineLevel="1">
      <c r="A678" s="12"/>
      <c r="B678" s="9" t="s">
        <v>1411</v>
      </c>
      <c r="C678" s="10">
        <v>256635.75</v>
      </c>
    </row>
    <row r="679" spans="1:3" hidden="1" outlineLevel="1">
      <c r="A679" s="12"/>
      <c r="B679" s="9" t="s">
        <v>1412</v>
      </c>
      <c r="C679" s="10">
        <v>226800</v>
      </c>
    </row>
    <row r="680" spans="1:3" hidden="1" outlineLevel="1">
      <c r="A680" s="12"/>
      <c r="B680" s="9" t="s">
        <v>1413</v>
      </c>
      <c r="C680" s="10">
        <v>209192.62</v>
      </c>
    </row>
    <row r="681" spans="1:3" hidden="1" outlineLevel="1">
      <c r="A681" s="12"/>
      <c r="B681" s="9" t="s">
        <v>1414</v>
      </c>
      <c r="C681" s="10">
        <v>187888.87</v>
      </c>
    </row>
    <row r="682" spans="1:3" ht="27.95" hidden="1" outlineLevel="1">
      <c r="A682" s="12"/>
      <c r="B682" s="9" t="s">
        <v>1178</v>
      </c>
      <c r="C682" s="10">
        <v>171380.03</v>
      </c>
    </row>
    <row r="683" spans="1:3" hidden="1" outlineLevel="1">
      <c r="A683" s="12"/>
      <c r="B683" s="9" t="s">
        <v>1415</v>
      </c>
      <c r="C683" s="10">
        <v>167299.97</v>
      </c>
    </row>
    <row r="684" spans="1:3" hidden="1" outlineLevel="1">
      <c r="A684" s="12"/>
      <c r="B684" s="9" t="s">
        <v>1416</v>
      </c>
      <c r="C684" s="10">
        <v>150472.53</v>
      </c>
    </row>
    <row r="685" spans="1:3" ht="27.95" hidden="1" outlineLevel="1">
      <c r="A685" s="12"/>
      <c r="B685" s="9" t="s">
        <v>1417</v>
      </c>
      <c r="C685" s="10">
        <v>147210.17000000001</v>
      </c>
    </row>
    <row r="686" spans="1:3" ht="27.95" hidden="1" outlineLevel="1">
      <c r="A686" s="12"/>
      <c r="B686" s="9" t="s">
        <v>1418</v>
      </c>
      <c r="C686" s="10">
        <v>140765.62</v>
      </c>
    </row>
    <row r="687" spans="1:3" hidden="1" outlineLevel="1">
      <c r="A687" s="12"/>
      <c r="B687" s="9" t="s">
        <v>1191</v>
      </c>
      <c r="C687" s="10">
        <v>135783.13</v>
      </c>
    </row>
    <row r="688" spans="1:3" ht="27.95" hidden="1" outlineLevel="1">
      <c r="A688" s="12"/>
      <c r="B688" s="9" t="s">
        <v>1345</v>
      </c>
      <c r="C688" s="10">
        <v>129210.84</v>
      </c>
    </row>
    <row r="689" spans="1:3" ht="27.95" hidden="1" outlineLevel="1">
      <c r="A689" s="12"/>
      <c r="B689" s="9" t="s">
        <v>1419</v>
      </c>
      <c r="C689" s="10">
        <v>116740.47</v>
      </c>
    </row>
    <row r="690" spans="1:3" hidden="1" outlineLevel="1">
      <c r="A690" s="12"/>
      <c r="B690" s="9" t="s">
        <v>1420</v>
      </c>
      <c r="C690" s="10">
        <v>112598.85</v>
      </c>
    </row>
    <row r="691" spans="1:3" ht="27.95" hidden="1" outlineLevel="1">
      <c r="A691" s="12"/>
      <c r="B691" s="9" t="s">
        <v>1005</v>
      </c>
      <c r="C691" s="10">
        <v>108673.98</v>
      </c>
    </row>
    <row r="692" spans="1:3" hidden="1" outlineLevel="1">
      <c r="A692" s="12"/>
      <c r="B692" s="9" t="s">
        <v>1421</v>
      </c>
      <c r="C692" s="10">
        <v>103084.89</v>
      </c>
    </row>
    <row r="693" spans="1:3" hidden="1" outlineLevel="1">
      <c r="A693" s="12"/>
      <c r="B693" s="9" t="s">
        <v>1422</v>
      </c>
      <c r="C693" s="10">
        <v>100938.73</v>
      </c>
    </row>
    <row r="694" spans="1:3" ht="27.95" hidden="1" outlineLevel="1">
      <c r="A694" s="12"/>
      <c r="B694" s="9" t="s">
        <v>1423</v>
      </c>
      <c r="C694" s="10">
        <v>90000</v>
      </c>
    </row>
    <row r="695" spans="1:3" ht="27.95" hidden="1" outlineLevel="1">
      <c r="A695" s="12"/>
      <c r="B695" s="9" t="s">
        <v>1424</v>
      </c>
      <c r="C695" s="10">
        <v>88010.35</v>
      </c>
    </row>
    <row r="696" spans="1:3" ht="27.95" hidden="1" outlineLevel="1">
      <c r="A696" s="12"/>
      <c r="B696" s="9" t="s">
        <v>1425</v>
      </c>
      <c r="C696" s="10">
        <v>78763.710000000006</v>
      </c>
    </row>
    <row r="697" spans="1:3" hidden="1" outlineLevel="1">
      <c r="A697" s="12"/>
      <c r="B697" s="9" t="s">
        <v>1426</v>
      </c>
      <c r="C697" s="10">
        <v>76631.33</v>
      </c>
    </row>
    <row r="698" spans="1:3" hidden="1" outlineLevel="1">
      <c r="A698" s="12"/>
      <c r="B698" s="9" t="s">
        <v>1427</v>
      </c>
      <c r="C698" s="10">
        <v>73944.100000000006</v>
      </c>
    </row>
    <row r="699" spans="1:3" ht="42" hidden="1" outlineLevel="1">
      <c r="A699" s="12"/>
      <c r="B699" s="9" t="s">
        <v>1428</v>
      </c>
      <c r="C699" s="10">
        <v>58544.45</v>
      </c>
    </row>
    <row r="700" spans="1:3" ht="27.95" hidden="1" outlineLevel="1">
      <c r="A700" s="12"/>
      <c r="B700" s="9" t="s">
        <v>1197</v>
      </c>
      <c r="C700" s="10">
        <v>58320.92</v>
      </c>
    </row>
    <row r="701" spans="1:3" ht="27.95" hidden="1" outlineLevel="1">
      <c r="A701" s="12"/>
      <c r="B701" s="9" t="s">
        <v>1429</v>
      </c>
      <c r="C701" s="10">
        <v>57209.35</v>
      </c>
    </row>
    <row r="702" spans="1:3" ht="27.95" hidden="1" outlineLevel="1">
      <c r="A702" s="12"/>
      <c r="B702" s="9" t="s">
        <v>1067</v>
      </c>
      <c r="C702" s="10">
        <v>49400</v>
      </c>
    </row>
    <row r="703" spans="1:3" ht="27.95" hidden="1" outlineLevel="1">
      <c r="A703" s="12"/>
      <c r="B703" s="9" t="s">
        <v>1430</v>
      </c>
      <c r="C703" s="10">
        <v>46653.71</v>
      </c>
    </row>
    <row r="704" spans="1:3" ht="27.95" hidden="1" outlineLevel="1">
      <c r="A704" s="12"/>
      <c r="B704" s="9" t="s">
        <v>1431</v>
      </c>
      <c r="C704" s="10">
        <v>45939.44</v>
      </c>
    </row>
    <row r="705" spans="1:3" hidden="1" outlineLevel="1">
      <c r="A705" s="12"/>
      <c r="B705" s="9" t="s">
        <v>1432</v>
      </c>
      <c r="C705" s="10">
        <v>45750</v>
      </c>
    </row>
    <row r="706" spans="1:3" hidden="1" outlineLevel="1">
      <c r="A706" s="12"/>
      <c r="B706" s="9" t="s">
        <v>1433</v>
      </c>
      <c r="C706" s="10">
        <v>44771.69</v>
      </c>
    </row>
    <row r="707" spans="1:3" ht="27.95" hidden="1" outlineLevel="1">
      <c r="A707" s="12"/>
      <c r="B707" s="9" t="s">
        <v>1434</v>
      </c>
      <c r="C707" s="10">
        <v>37841.800000000003</v>
      </c>
    </row>
    <row r="708" spans="1:3" ht="27.95" hidden="1" outlineLevel="1">
      <c r="A708" s="12"/>
      <c r="B708" s="9" t="s">
        <v>1435</v>
      </c>
      <c r="C708" s="10">
        <v>36964.74</v>
      </c>
    </row>
    <row r="709" spans="1:3" ht="27.95" hidden="1" outlineLevel="1">
      <c r="A709" s="12"/>
      <c r="B709" s="9" t="s">
        <v>1010</v>
      </c>
      <c r="C709" s="10">
        <v>36608.86</v>
      </c>
    </row>
    <row r="710" spans="1:3" ht="27.95" hidden="1" outlineLevel="1">
      <c r="A710" s="12"/>
      <c r="B710" s="9" t="s">
        <v>1436</v>
      </c>
      <c r="C710" s="10">
        <v>32765.25</v>
      </c>
    </row>
    <row r="711" spans="1:3" ht="27.95" hidden="1" outlineLevel="1">
      <c r="A711" s="12"/>
      <c r="B711" s="9" t="s">
        <v>1437</v>
      </c>
      <c r="C711" s="10">
        <v>30222.2</v>
      </c>
    </row>
    <row r="712" spans="1:3" hidden="1" outlineLevel="1">
      <c r="A712" s="12"/>
      <c r="B712" s="9" t="s">
        <v>1438</v>
      </c>
      <c r="C712" s="10">
        <v>27511.67</v>
      </c>
    </row>
    <row r="713" spans="1:3" ht="42" hidden="1" outlineLevel="1">
      <c r="A713" s="12"/>
      <c r="B713" s="9" t="s">
        <v>1439</v>
      </c>
      <c r="C713" s="10">
        <v>25209.34</v>
      </c>
    </row>
    <row r="714" spans="1:3" ht="27.95" hidden="1" outlineLevel="1">
      <c r="A714" s="12"/>
      <c r="B714" s="9" t="s">
        <v>976</v>
      </c>
      <c r="C714" s="10">
        <v>24862.44</v>
      </c>
    </row>
    <row r="715" spans="1:3" hidden="1" outlineLevel="1">
      <c r="A715" s="12"/>
      <c r="B715" s="9" t="s">
        <v>1440</v>
      </c>
      <c r="C715" s="10">
        <v>22333.69</v>
      </c>
    </row>
    <row r="716" spans="1:3" hidden="1" outlineLevel="1">
      <c r="A716" s="12"/>
      <c r="B716" s="9" t="s">
        <v>1441</v>
      </c>
      <c r="C716" s="10">
        <v>18000</v>
      </c>
    </row>
    <row r="717" spans="1:3" hidden="1" outlineLevel="1">
      <c r="A717" s="12"/>
      <c r="B717" s="9" t="s">
        <v>1442</v>
      </c>
      <c r="C717" s="10">
        <v>17310.169999999998</v>
      </c>
    </row>
    <row r="718" spans="1:3" hidden="1" outlineLevel="1">
      <c r="A718" s="12"/>
      <c r="B718" s="9" t="s">
        <v>1443</v>
      </c>
      <c r="C718" s="10">
        <v>16983.46</v>
      </c>
    </row>
    <row r="719" spans="1:3" ht="27.95" hidden="1" outlineLevel="1">
      <c r="A719" s="12"/>
      <c r="B719" s="9" t="s">
        <v>1444</v>
      </c>
      <c r="C719" s="10">
        <v>16666.72</v>
      </c>
    </row>
    <row r="720" spans="1:3" hidden="1" outlineLevel="1">
      <c r="A720" s="12"/>
      <c r="B720" s="9" t="s">
        <v>1445</v>
      </c>
      <c r="C720" s="10">
        <v>16178.34</v>
      </c>
    </row>
    <row r="721" spans="1:3" ht="27.95" hidden="1" outlineLevel="1">
      <c r="A721" s="12"/>
      <c r="B721" s="9" t="s">
        <v>1446</v>
      </c>
      <c r="C721" s="10">
        <v>15568.470000000001</v>
      </c>
    </row>
    <row r="722" spans="1:3" ht="27.95" hidden="1" outlineLevel="1">
      <c r="A722" s="12"/>
      <c r="B722" s="9" t="s">
        <v>927</v>
      </c>
      <c r="C722" s="10">
        <v>14867.579999999994</v>
      </c>
    </row>
    <row r="723" spans="1:3" ht="42" hidden="1" outlineLevel="1">
      <c r="A723" s="12"/>
      <c r="B723" s="9" t="s">
        <v>1447</v>
      </c>
      <c r="C723" s="10">
        <v>14411.95</v>
      </c>
    </row>
    <row r="724" spans="1:3" ht="27.95" hidden="1" outlineLevel="1">
      <c r="A724" s="12"/>
      <c r="B724" s="9" t="s">
        <v>996</v>
      </c>
      <c r="C724" s="10">
        <v>13560.6</v>
      </c>
    </row>
    <row r="725" spans="1:3" ht="27.95" hidden="1" outlineLevel="1">
      <c r="A725" s="12"/>
      <c r="B725" s="9" t="s">
        <v>1448</v>
      </c>
      <c r="C725" s="10">
        <v>13198.99</v>
      </c>
    </row>
    <row r="726" spans="1:3" hidden="1" outlineLevel="1">
      <c r="A726" s="12"/>
      <c r="B726" s="9" t="s">
        <v>1449</v>
      </c>
      <c r="C726" s="10">
        <v>11242.11</v>
      </c>
    </row>
    <row r="727" spans="1:3" ht="27.95" hidden="1" outlineLevel="1">
      <c r="A727" s="12"/>
      <c r="B727" s="9" t="s">
        <v>1450</v>
      </c>
      <c r="C727" s="10">
        <v>10835.13</v>
      </c>
    </row>
    <row r="728" spans="1:3" hidden="1" outlineLevel="1">
      <c r="A728" s="12"/>
      <c r="B728" s="9" t="s">
        <v>1451</v>
      </c>
      <c r="C728" s="10">
        <v>10036.59</v>
      </c>
    </row>
    <row r="729" spans="1:3" hidden="1" outlineLevel="1">
      <c r="A729" s="12"/>
      <c r="B729" s="9" t="s">
        <v>1130</v>
      </c>
      <c r="C729" s="10">
        <v>9164.82</v>
      </c>
    </row>
    <row r="730" spans="1:3" ht="42" hidden="1" outlineLevel="1">
      <c r="A730" s="12"/>
      <c r="B730" s="9" t="s">
        <v>1452</v>
      </c>
      <c r="C730" s="10">
        <v>8695.76</v>
      </c>
    </row>
    <row r="731" spans="1:3" hidden="1" outlineLevel="1">
      <c r="A731" s="12"/>
      <c r="B731" s="9" t="s">
        <v>881</v>
      </c>
      <c r="C731" s="10">
        <v>8505.93</v>
      </c>
    </row>
    <row r="732" spans="1:3" hidden="1" outlineLevel="1">
      <c r="A732" s="12"/>
      <c r="B732" s="9" t="s">
        <v>1453</v>
      </c>
      <c r="C732" s="10">
        <v>8167.52</v>
      </c>
    </row>
    <row r="733" spans="1:3" ht="27.95" hidden="1" outlineLevel="1">
      <c r="A733" s="12"/>
      <c r="B733" s="9" t="s">
        <v>1454</v>
      </c>
      <c r="C733" s="10">
        <v>7860.97</v>
      </c>
    </row>
    <row r="734" spans="1:3" hidden="1" outlineLevel="1">
      <c r="A734" s="12"/>
      <c r="B734" s="9" t="s">
        <v>1455</v>
      </c>
      <c r="C734" s="10">
        <v>7572.16</v>
      </c>
    </row>
    <row r="735" spans="1:3" ht="27.95" hidden="1" outlineLevel="1">
      <c r="A735" s="12"/>
      <c r="B735" s="9" t="s">
        <v>1456</v>
      </c>
      <c r="C735" s="10">
        <v>6733.11</v>
      </c>
    </row>
    <row r="736" spans="1:3" hidden="1" outlineLevel="1">
      <c r="A736" s="12"/>
      <c r="B736" s="9" t="s">
        <v>1025</v>
      </c>
      <c r="C736" s="10">
        <v>4961.63</v>
      </c>
    </row>
    <row r="737" spans="1:3" hidden="1" outlineLevel="1">
      <c r="A737" s="12"/>
      <c r="B737" s="9" t="s">
        <v>1033</v>
      </c>
      <c r="C737" s="10">
        <v>4818.18</v>
      </c>
    </row>
    <row r="738" spans="1:3" ht="27.95" hidden="1" outlineLevel="1">
      <c r="A738" s="12"/>
      <c r="B738" s="9" t="s">
        <v>1457</v>
      </c>
      <c r="C738" s="10">
        <v>4500</v>
      </c>
    </row>
    <row r="739" spans="1:3" ht="27.95" hidden="1" outlineLevel="1">
      <c r="A739" s="12"/>
      <c r="B739" s="9" t="s">
        <v>1458</v>
      </c>
      <c r="C739" s="10">
        <v>4051.23</v>
      </c>
    </row>
    <row r="740" spans="1:3" hidden="1" outlineLevel="1">
      <c r="A740" s="12"/>
      <c r="B740" s="9" t="s">
        <v>935</v>
      </c>
      <c r="C740" s="10">
        <v>3738.56</v>
      </c>
    </row>
    <row r="741" spans="1:3" ht="27.95" hidden="1" outlineLevel="1">
      <c r="A741" s="12"/>
      <c r="B741" s="9" t="s">
        <v>1140</v>
      </c>
      <c r="C741" s="10">
        <v>2947.56</v>
      </c>
    </row>
    <row r="742" spans="1:3" hidden="1" outlineLevel="1">
      <c r="A742" s="12"/>
      <c r="B742" s="9" t="s">
        <v>1459</v>
      </c>
      <c r="C742" s="10">
        <v>2838.81</v>
      </c>
    </row>
    <row r="743" spans="1:3" hidden="1" outlineLevel="1">
      <c r="A743" s="12"/>
      <c r="B743" s="9" t="s">
        <v>917</v>
      </c>
      <c r="C743" s="10">
        <v>2668.65</v>
      </c>
    </row>
    <row r="744" spans="1:3" ht="27.95" hidden="1" outlineLevel="1">
      <c r="A744" s="12"/>
      <c r="B744" s="9" t="s">
        <v>1460</v>
      </c>
      <c r="C744" s="10">
        <v>2652.84</v>
      </c>
    </row>
    <row r="745" spans="1:3" hidden="1" outlineLevel="1">
      <c r="A745" s="12"/>
      <c r="B745" s="9" t="s">
        <v>925</v>
      </c>
      <c r="C745" s="10">
        <v>2644.59</v>
      </c>
    </row>
    <row r="746" spans="1:3" hidden="1" outlineLevel="1">
      <c r="A746" s="12"/>
      <c r="B746" s="9" t="s">
        <v>910</v>
      </c>
      <c r="C746" s="10">
        <v>2207.71</v>
      </c>
    </row>
    <row r="747" spans="1:3" hidden="1" outlineLevel="1">
      <c r="A747" s="12"/>
      <c r="B747" s="9" t="s">
        <v>1156</v>
      </c>
      <c r="C747" s="10">
        <v>1846.72</v>
      </c>
    </row>
    <row r="748" spans="1:3" ht="27.95" hidden="1" outlineLevel="1">
      <c r="A748" s="12"/>
      <c r="B748" s="9" t="s">
        <v>1461</v>
      </c>
      <c r="C748" s="10">
        <v>1588.15</v>
      </c>
    </row>
    <row r="749" spans="1:3" hidden="1" outlineLevel="1">
      <c r="A749" s="12"/>
      <c r="B749" s="9" t="s">
        <v>1462</v>
      </c>
      <c r="C749" s="10">
        <v>1060.56</v>
      </c>
    </row>
    <row r="750" spans="1:3" hidden="1" outlineLevel="1">
      <c r="A750" s="12"/>
      <c r="B750" s="9" t="s">
        <v>1041</v>
      </c>
      <c r="C750" s="10">
        <v>793.44</v>
      </c>
    </row>
    <row r="751" spans="1:3" hidden="1" outlineLevel="1">
      <c r="A751" s="12"/>
      <c r="B751" s="9" t="s">
        <v>930</v>
      </c>
      <c r="C751" s="10">
        <v>709.28</v>
      </c>
    </row>
    <row r="752" spans="1:3" hidden="1" outlineLevel="1">
      <c r="A752" s="12"/>
      <c r="B752" s="9" t="s">
        <v>941</v>
      </c>
      <c r="C752" s="10">
        <v>546.29999999999995</v>
      </c>
    </row>
    <row r="753" spans="1:3" hidden="1" outlineLevel="1">
      <c r="A753" s="12"/>
      <c r="B753" s="9" t="s">
        <v>1463</v>
      </c>
      <c r="C753" s="10">
        <v>528.79999999999995</v>
      </c>
    </row>
    <row r="754" spans="1:3" hidden="1" outlineLevel="1">
      <c r="A754" s="12"/>
      <c r="B754" s="9" t="s">
        <v>1464</v>
      </c>
      <c r="C754" s="10">
        <v>457.59</v>
      </c>
    </row>
    <row r="755" spans="1:3" hidden="1" outlineLevel="1">
      <c r="A755" s="12"/>
      <c r="B755" s="9" t="s">
        <v>1168</v>
      </c>
      <c r="C755" s="10">
        <v>417.25</v>
      </c>
    </row>
    <row r="756" spans="1:3" hidden="1" outlineLevel="1">
      <c r="A756" s="12"/>
      <c r="B756" s="9" t="s">
        <v>1465</v>
      </c>
      <c r="C756" s="10">
        <v>265.5</v>
      </c>
    </row>
    <row r="757" spans="1:3" ht="27.95" hidden="1" outlineLevel="1">
      <c r="A757" s="12"/>
      <c r="B757" s="9" t="s">
        <v>945</v>
      </c>
      <c r="C757" s="10">
        <v>192.67000000000002</v>
      </c>
    </row>
    <row r="758" spans="1:3" ht="27.95" hidden="1" outlineLevel="1">
      <c r="A758" s="12"/>
      <c r="B758" s="9" t="s">
        <v>1466</v>
      </c>
      <c r="C758" s="10">
        <v>168.88</v>
      </c>
    </row>
    <row r="759" spans="1:3" hidden="1" outlineLevel="1">
      <c r="A759" s="12"/>
      <c r="B759" s="9" t="s">
        <v>1467</v>
      </c>
      <c r="C759" s="10">
        <v>155.24</v>
      </c>
    </row>
    <row r="760" spans="1:3" collapsed="1">
      <c r="A760" s="12"/>
      <c r="B760" s="13"/>
      <c r="C760" s="14">
        <f>SUM(C657:C676)</f>
        <v>12018003.349999994</v>
      </c>
    </row>
    <row r="761" spans="1:3">
      <c r="A761" s="12"/>
      <c r="B761" s="9"/>
      <c r="C761" s="10"/>
    </row>
    <row r="762" spans="1:3">
      <c r="A762" s="12"/>
      <c r="B762" s="9"/>
      <c r="C762" s="10"/>
    </row>
    <row r="763" spans="1:3" ht="27.95">
      <c r="A763" s="47" t="s">
        <v>13</v>
      </c>
      <c r="B763" s="9" t="s">
        <v>1468</v>
      </c>
      <c r="C763" s="10">
        <v>2732871.65</v>
      </c>
    </row>
    <row r="764" spans="1:3" ht="27.95">
      <c r="A764" s="47"/>
      <c r="B764" s="9" t="s">
        <v>1404</v>
      </c>
      <c r="C764" s="10">
        <v>660000</v>
      </c>
    </row>
    <row r="765" spans="1:3" ht="27.95">
      <c r="A765" s="47"/>
      <c r="B765" s="9" t="s">
        <v>1469</v>
      </c>
      <c r="C765" s="10">
        <v>607730.52</v>
      </c>
    </row>
    <row r="766" spans="1:3" ht="27.95">
      <c r="A766" s="47"/>
      <c r="B766" s="9" t="s">
        <v>970</v>
      </c>
      <c r="C766" s="10">
        <v>491067.9</v>
      </c>
    </row>
    <row r="767" spans="1:3" ht="69.95">
      <c r="A767" s="47"/>
      <c r="B767" s="9" t="s">
        <v>973</v>
      </c>
      <c r="C767" s="10">
        <v>390649.19</v>
      </c>
    </row>
    <row r="768" spans="1:3" ht="27.95">
      <c r="A768" s="47"/>
      <c r="B768" s="9" t="s">
        <v>1470</v>
      </c>
      <c r="C768" s="10">
        <v>356275.03</v>
      </c>
    </row>
    <row r="769" spans="1:3" ht="27.95">
      <c r="A769" s="47"/>
      <c r="B769" s="9" t="s">
        <v>1471</v>
      </c>
      <c r="C769" s="10">
        <v>342489.34</v>
      </c>
    </row>
    <row r="770" spans="1:3" ht="27.95">
      <c r="A770" s="47"/>
      <c r="B770" s="9" t="s">
        <v>892</v>
      </c>
      <c r="C770" s="10">
        <v>249206.05999999997</v>
      </c>
    </row>
    <row r="771" spans="1:3" ht="27.95">
      <c r="A771" s="47"/>
      <c r="B771" s="9" t="s">
        <v>1269</v>
      </c>
      <c r="C771" s="10">
        <v>223454.40999999997</v>
      </c>
    </row>
    <row r="772" spans="1:3">
      <c r="A772" s="47"/>
      <c r="B772" s="9" t="s">
        <v>1254</v>
      </c>
      <c r="C772" s="10">
        <v>212485.08999999997</v>
      </c>
    </row>
    <row r="773" spans="1:3" ht="27.95">
      <c r="A773" s="47"/>
      <c r="B773" s="9" t="s">
        <v>1472</v>
      </c>
      <c r="C773" s="10">
        <v>211604.69</v>
      </c>
    </row>
    <row r="774" spans="1:3">
      <c r="A774" s="47"/>
      <c r="B774" s="9" t="s">
        <v>1473</v>
      </c>
      <c r="C774" s="10">
        <v>195000</v>
      </c>
    </row>
    <row r="775" spans="1:3" ht="27.95">
      <c r="A775" s="47"/>
      <c r="B775" s="9" t="s">
        <v>1474</v>
      </c>
      <c r="C775" s="10">
        <v>194415.78</v>
      </c>
    </row>
    <row r="776" spans="1:3" ht="27.95">
      <c r="A776" s="47"/>
      <c r="B776" s="9" t="s">
        <v>1475</v>
      </c>
      <c r="C776" s="10">
        <v>187149.36000000002</v>
      </c>
    </row>
    <row r="777" spans="1:3" ht="27.95">
      <c r="A777" s="47"/>
      <c r="B777" s="9" t="s">
        <v>1010</v>
      </c>
      <c r="C777" s="10">
        <v>183044.28999999998</v>
      </c>
    </row>
    <row r="778" spans="1:3">
      <c r="A778" s="47"/>
      <c r="B778" s="9" t="s">
        <v>1476</v>
      </c>
      <c r="C778" s="10">
        <v>169468.84</v>
      </c>
    </row>
    <row r="779" spans="1:3">
      <c r="A779" s="47"/>
      <c r="B779" s="9" t="s">
        <v>868</v>
      </c>
      <c r="C779" s="10">
        <v>158931.17000000001</v>
      </c>
    </row>
    <row r="780" spans="1:3" ht="27.95">
      <c r="A780" s="47"/>
      <c r="B780" s="9" t="s">
        <v>885</v>
      </c>
      <c r="C780" s="10">
        <v>151229.4</v>
      </c>
    </row>
    <row r="781" spans="1:3">
      <c r="A781" s="47"/>
      <c r="B781" s="9" t="s">
        <v>1141</v>
      </c>
      <c r="C781" s="10">
        <v>140574.46</v>
      </c>
    </row>
    <row r="782" spans="1:3" ht="27.95">
      <c r="A782" s="47"/>
      <c r="B782" s="9" t="s">
        <v>1477</v>
      </c>
      <c r="C782" s="10">
        <v>140000</v>
      </c>
    </row>
    <row r="783" spans="1:3" ht="27.95" hidden="1" outlineLevel="1">
      <c r="A783" s="12"/>
      <c r="B783" s="9" t="s">
        <v>996</v>
      </c>
      <c r="C783" s="10">
        <v>133094.81</v>
      </c>
    </row>
    <row r="784" spans="1:3" ht="27.95" hidden="1" outlineLevel="1">
      <c r="A784" s="12"/>
      <c r="B784" s="9" t="s">
        <v>1478</v>
      </c>
      <c r="C784" s="10">
        <v>110554.66</v>
      </c>
    </row>
    <row r="785" spans="1:3" ht="27.95" hidden="1" outlineLevel="1">
      <c r="A785" s="12"/>
      <c r="B785" s="9" t="s">
        <v>1479</v>
      </c>
      <c r="C785" s="10">
        <v>110000</v>
      </c>
    </row>
    <row r="786" spans="1:3" ht="27.95" hidden="1" outlineLevel="1">
      <c r="A786" s="12"/>
      <c r="B786" s="9" t="s">
        <v>1108</v>
      </c>
      <c r="C786" s="10">
        <v>93173.25</v>
      </c>
    </row>
    <row r="787" spans="1:3" ht="27.95" hidden="1" outlineLevel="1">
      <c r="A787" s="12"/>
      <c r="B787" s="9" t="s">
        <v>1480</v>
      </c>
      <c r="C787" s="10">
        <v>84492.47</v>
      </c>
    </row>
    <row r="788" spans="1:3" ht="27.95" hidden="1" outlineLevel="1">
      <c r="A788" s="12"/>
      <c r="B788" s="9" t="s">
        <v>976</v>
      </c>
      <c r="C788" s="10">
        <v>74587.33</v>
      </c>
    </row>
    <row r="789" spans="1:3" hidden="1" outlineLevel="1">
      <c r="A789" s="12"/>
      <c r="B789" s="9" t="s">
        <v>1481</v>
      </c>
      <c r="C789" s="10">
        <v>65000</v>
      </c>
    </row>
    <row r="790" spans="1:3" ht="27.95" hidden="1" outlineLevel="1">
      <c r="A790" s="12"/>
      <c r="B790" s="9" t="s">
        <v>907</v>
      </c>
      <c r="C790" s="10">
        <v>54598.25</v>
      </c>
    </row>
    <row r="791" spans="1:3" hidden="1" outlineLevel="1">
      <c r="A791" s="12"/>
      <c r="B791" s="9" t="s">
        <v>1156</v>
      </c>
      <c r="C791" s="10">
        <v>50323.170000000006</v>
      </c>
    </row>
    <row r="792" spans="1:3" ht="27.95" hidden="1" outlineLevel="1">
      <c r="A792" s="12"/>
      <c r="B792" s="9" t="s">
        <v>1370</v>
      </c>
      <c r="C792" s="10">
        <v>49178.1</v>
      </c>
    </row>
    <row r="793" spans="1:3" ht="27.95" hidden="1" outlineLevel="1">
      <c r="A793" s="12"/>
      <c r="B793" s="9" t="s">
        <v>1482</v>
      </c>
      <c r="C793" s="10">
        <v>46463.33</v>
      </c>
    </row>
    <row r="794" spans="1:3" ht="27.95" hidden="1" outlineLevel="1">
      <c r="A794" s="12"/>
      <c r="B794" s="9" t="s">
        <v>1483</v>
      </c>
      <c r="C794" s="10">
        <v>44904.77</v>
      </c>
    </row>
    <row r="795" spans="1:3" hidden="1" outlineLevel="1">
      <c r="A795" s="12"/>
      <c r="B795" s="9" t="s">
        <v>1484</v>
      </c>
      <c r="C795" s="10">
        <v>41094.82</v>
      </c>
    </row>
    <row r="796" spans="1:3" ht="27.95" hidden="1" outlineLevel="1">
      <c r="A796" s="12"/>
      <c r="B796" s="9" t="s">
        <v>1485</v>
      </c>
      <c r="C796" s="10">
        <v>39803.019999999997</v>
      </c>
    </row>
    <row r="797" spans="1:3" ht="42" hidden="1" outlineLevel="1">
      <c r="A797" s="12"/>
      <c r="B797" s="9" t="s">
        <v>1486</v>
      </c>
      <c r="C797" s="10">
        <v>39504.769999999997</v>
      </c>
    </row>
    <row r="798" spans="1:3" ht="42" hidden="1" outlineLevel="1">
      <c r="A798" s="12"/>
      <c r="B798" s="9" t="s">
        <v>1487</v>
      </c>
      <c r="C798" s="10">
        <v>38393.870000000003</v>
      </c>
    </row>
    <row r="799" spans="1:3" ht="27.95" hidden="1" outlineLevel="1">
      <c r="A799" s="12"/>
      <c r="B799" s="9" t="s">
        <v>1488</v>
      </c>
      <c r="C799" s="10">
        <v>37782.300000000003</v>
      </c>
    </row>
    <row r="800" spans="1:3" hidden="1" outlineLevel="1">
      <c r="A800" s="12"/>
      <c r="B800" s="9" t="s">
        <v>1270</v>
      </c>
      <c r="C800" s="10">
        <v>37444.04</v>
      </c>
    </row>
    <row r="801" spans="1:3" ht="27.95" hidden="1" outlineLevel="1">
      <c r="A801" s="12"/>
      <c r="B801" s="9" t="s">
        <v>1489</v>
      </c>
      <c r="C801" s="10">
        <v>36800</v>
      </c>
    </row>
    <row r="802" spans="1:3" ht="27.95" hidden="1" outlineLevel="1">
      <c r="A802" s="12"/>
      <c r="B802" s="9" t="s">
        <v>1490</v>
      </c>
      <c r="C802" s="10">
        <v>34555.1</v>
      </c>
    </row>
    <row r="803" spans="1:3" ht="27.95" hidden="1" outlineLevel="1">
      <c r="A803" s="12"/>
      <c r="B803" s="9" t="s">
        <v>1491</v>
      </c>
      <c r="C803" s="10">
        <v>32832.639999999999</v>
      </c>
    </row>
    <row r="804" spans="1:3" ht="27.95" hidden="1" outlineLevel="1">
      <c r="A804" s="12"/>
      <c r="B804" s="9" t="s">
        <v>1436</v>
      </c>
      <c r="C804" s="10">
        <v>32765.25</v>
      </c>
    </row>
    <row r="805" spans="1:3" hidden="1" outlineLevel="1">
      <c r="A805" s="12"/>
      <c r="B805" s="9" t="s">
        <v>1316</v>
      </c>
      <c r="C805" s="10">
        <v>31547.769999999997</v>
      </c>
    </row>
    <row r="806" spans="1:3" ht="27.95" hidden="1" outlineLevel="1">
      <c r="A806" s="12"/>
      <c r="B806" s="9" t="s">
        <v>888</v>
      </c>
      <c r="C806" s="10">
        <v>28716.77</v>
      </c>
    </row>
    <row r="807" spans="1:3" ht="27.95" hidden="1" outlineLevel="1">
      <c r="A807" s="12"/>
      <c r="B807" s="9" t="s">
        <v>1492</v>
      </c>
      <c r="C807" s="10">
        <v>27723.57</v>
      </c>
    </row>
    <row r="808" spans="1:3" ht="27.95" hidden="1" outlineLevel="1">
      <c r="A808" s="12"/>
      <c r="B808" s="9" t="s">
        <v>1493</v>
      </c>
      <c r="C808" s="10">
        <v>26400</v>
      </c>
    </row>
    <row r="809" spans="1:3" ht="27.95" hidden="1" outlineLevel="1">
      <c r="A809" s="12"/>
      <c r="B809" s="9" t="s">
        <v>1298</v>
      </c>
      <c r="C809" s="10">
        <v>25362.16</v>
      </c>
    </row>
    <row r="810" spans="1:3" ht="27.95" hidden="1" outlineLevel="1">
      <c r="A810" s="12"/>
      <c r="B810" s="9" t="s">
        <v>1494</v>
      </c>
      <c r="C810" s="10">
        <v>25200</v>
      </c>
    </row>
    <row r="811" spans="1:3" hidden="1" outlineLevel="1">
      <c r="A811" s="12"/>
      <c r="B811" s="9" t="s">
        <v>1284</v>
      </c>
      <c r="C811" s="10">
        <v>25062.63</v>
      </c>
    </row>
    <row r="812" spans="1:3" ht="27.95" hidden="1" outlineLevel="1">
      <c r="A812" s="12"/>
      <c r="B812" s="9" t="s">
        <v>1495</v>
      </c>
      <c r="C812" s="10">
        <v>24354.83</v>
      </c>
    </row>
    <row r="813" spans="1:3" ht="27.95" hidden="1" outlineLevel="1">
      <c r="A813" s="12"/>
      <c r="B813" s="9" t="s">
        <v>1496</v>
      </c>
      <c r="C813" s="10">
        <v>24000</v>
      </c>
    </row>
    <row r="814" spans="1:3" ht="27.95" hidden="1" outlineLevel="1">
      <c r="A814" s="12"/>
      <c r="B814" s="9" t="s">
        <v>1383</v>
      </c>
      <c r="C814" s="10">
        <v>23847.19</v>
      </c>
    </row>
    <row r="815" spans="1:3" hidden="1" outlineLevel="1">
      <c r="A815" s="12"/>
      <c r="B815" s="9" t="s">
        <v>1497</v>
      </c>
      <c r="C815" s="10">
        <v>22337.56</v>
      </c>
    </row>
    <row r="816" spans="1:3" hidden="1" outlineLevel="1">
      <c r="A816" s="12"/>
      <c r="B816" s="9" t="s">
        <v>895</v>
      </c>
      <c r="C816" s="10">
        <v>22050</v>
      </c>
    </row>
    <row r="817" spans="1:3" hidden="1" outlineLevel="1">
      <c r="A817" s="12"/>
      <c r="B817" s="9" t="s">
        <v>1498</v>
      </c>
      <c r="C817" s="10">
        <v>21214.07</v>
      </c>
    </row>
    <row r="818" spans="1:3" ht="27.95" hidden="1" outlineLevel="1">
      <c r="A818" s="12"/>
      <c r="B818" s="9" t="s">
        <v>1022</v>
      </c>
      <c r="C818" s="10">
        <v>21104.84</v>
      </c>
    </row>
    <row r="819" spans="1:3" ht="27.95" hidden="1" outlineLevel="1">
      <c r="A819" s="12"/>
      <c r="B819" s="9" t="s">
        <v>1287</v>
      </c>
      <c r="C819" s="10">
        <v>20777.84</v>
      </c>
    </row>
    <row r="820" spans="1:3" ht="27.95" hidden="1" outlineLevel="1">
      <c r="A820" s="12"/>
      <c r="B820" s="9" t="s">
        <v>909</v>
      </c>
      <c r="C820" s="10">
        <v>19132.419999999998</v>
      </c>
    </row>
    <row r="821" spans="1:3" hidden="1" outlineLevel="1">
      <c r="A821" s="12"/>
      <c r="B821" s="9" t="s">
        <v>1499</v>
      </c>
      <c r="C821" s="10">
        <v>18890.849999999999</v>
      </c>
    </row>
    <row r="822" spans="1:3" hidden="1" outlineLevel="1">
      <c r="A822" s="12"/>
      <c r="B822" s="9" t="s">
        <v>1500</v>
      </c>
      <c r="C822" s="10">
        <v>18801.55</v>
      </c>
    </row>
    <row r="823" spans="1:3" hidden="1" outlineLevel="1">
      <c r="A823" s="12"/>
      <c r="B823" s="9" t="s">
        <v>917</v>
      </c>
      <c r="C823" s="10">
        <v>18323.580000000002</v>
      </c>
    </row>
    <row r="824" spans="1:3" ht="27.95" hidden="1" outlineLevel="1">
      <c r="A824" s="12"/>
      <c r="B824" s="9" t="s">
        <v>1501</v>
      </c>
      <c r="C824" s="10">
        <v>18000</v>
      </c>
    </row>
    <row r="825" spans="1:3" hidden="1" outlineLevel="1">
      <c r="A825" s="12"/>
      <c r="B825" s="9" t="s">
        <v>1502</v>
      </c>
      <c r="C825" s="10">
        <v>17962.620000000003</v>
      </c>
    </row>
    <row r="826" spans="1:3" ht="27.95" hidden="1" outlineLevel="1">
      <c r="A826" s="12"/>
      <c r="B826" s="9" t="s">
        <v>1503</v>
      </c>
      <c r="C826" s="10">
        <v>17143.400000000001</v>
      </c>
    </row>
    <row r="827" spans="1:3" hidden="1" outlineLevel="1">
      <c r="A827" s="12"/>
      <c r="B827" s="9" t="s">
        <v>1504</v>
      </c>
      <c r="C827" s="10">
        <v>17033.259999999998</v>
      </c>
    </row>
    <row r="828" spans="1:3" hidden="1" outlineLevel="1">
      <c r="A828" s="12"/>
      <c r="B828" s="9" t="s">
        <v>1505</v>
      </c>
      <c r="C828" s="10">
        <v>16282.17</v>
      </c>
    </row>
    <row r="829" spans="1:3" ht="27.95" hidden="1" outlineLevel="1">
      <c r="A829" s="12"/>
      <c r="B829" s="9" t="s">
        <v>1506</v>
      </c>
      <c r="C829" s="10">
        <v>16000</v>
      </c>
    </row>
    <row r="830" spans="1:3" hidden="1" outlineLevel="1">
      <c r="A830" s="12"/>
      <c r="B830" s="9" t="s">
        <v>1210</v>
      </c>
      <c r="C830" s="10">
        <v>15000</v>
      </c>
    </row>
    <row r="831" spans="1:3" hidden="1" outlineLevel="1">
      <c r="A831" s="12"/>
      <c r="B831" s="9" t="s">
        <v>1507</v>
      </c>
      <c r="C831" s="10">
        <v>14195.21</v>
      </c>
    </row>
    <row r="832" spans="1:3" hidden="1" outlineLevel="1">
      <c r="A832" s="12"/>
      <c r="B832" s="9" t="s">
        <v>1508</v>
      </c>
      <c r="C832" s="10">
        <v>14131.39</v>
      </c>
    </row>
    <row r="833" spans="1:3" ht="27.95" hidden="1" outlineLevel="1">
      <c r="A833" s="12"/>
      <c r="B833" s="9" t="s">
        <v>995</v>
      </c>
      <c r="C833" s="10">
        <v>13973.22</v>
      </c>
    </row>
    <row r="834" spans="1:3" ht="27.95" hidden="1" outlineLevel="1">
      <c r="A834" s="12"/>
      <c r="B834" s="9" t="s">
        <v>1509</v>
      </c>
      <c r="C834" s="10">
        <v>13225.49</v>
      </c>
    </row>
    <row r="835" spans="1:3" hidden="1" outlineLevel="1">
      <c r="A835" s="12"/>
      <c r="B835" s="9" t="s">
        <v>1510</v>
      </c>
      <c r="C835" s="10">
        <v>13065.89</v>
      </c>
    </row>
    <row r="836" spans="1:3" hidden="1" outlineLevel="1">
      <c r="A836" s="12"/>
      <c r="B836" s="9" t="s">
        <v>1025</v>
      </c>
      <c r="C836" s="10">
        <v>12404.05</v>
      </c>
    </row>
    <row r="837" spans="1:3" ht="42" hidden="1" outlineLevel="1">
      <c r="A837" s="12"/>
      <c r="B837" s="9" t="s">
        <v>1511</v>
      </c>
      <c r="C837" s="10">
        <v>11630.36</v>
      </c>
    </row>
    <row r="838" spans="1:3" hidden="1" outlineLevel="1">
      <c r="A838" s="12"/>
      <c r="B838" s="9" t="s">
        <v>1512</v>
      </c>
      <c r="C838" s="10">
        <v>11570.07</v>
      </c>
    </row>
    <row r="839" spans="1:3" ht="27.95" hidden="1" outlineLevel="1">
      <c r="A839" s="12"/>
      <c r="B839" s="9" t="s">
        <v>1513</v>
      </c>
      <c r="C839" s="10">
        <v>11366.26</v>
      </c>
    </row>
    <row r="840" spans="1:3" hidden="1" outlineLevel="1">
      <c r="A840" s="12"/>
      <c r="B840" s="9" t="s">
        <v>1449</v>
      </c>
      <c r="C840" s="10">
        <v>11242.1</v>
      </c>
    </row>
    <row r="841" spans="1:3" hidden="1" outlineLevel="1">
      <c r="A841" s="12"/>
      <c r="B841" s="9" t="s">
        <v>1514</v>
      </c>
      <c r="C841" s="10">
        <v>10488.89</v>
      </c>
    </row>
    <row r="842" spans="1:3" hidden="1" outlineLevel="1">
      <c r="A842" s="12"/>
      <c r="B842" s="9" t="s">
        <v>1515</v>
      </c>
      <c r="C842" s="10">
        <v>10429.84</v>
      </c>
    </row>
    <row r="843" spans="1:3" ht="27.95" hidden="1" outlineLevel="1">
      <c r="A843" s="12"/>
      <c r="B843" s="9" t="s">
        <v>1310</v>
      </c>
      <c r="C843" s="10">
        <v>9974.68</v>
      </c>
    </row>
    <row r="844" spans="1:3" hidden="1" outlineLevel="1">
      <c r="A844" s="12"/>
      <c r="B844" s="9" t="s">
        <v>1033</v>
      </c>
      <c r="C844" s="10">
        <v>9636.36</v>
      </c>
    </row>
    <row r="845" spans="1:3" hidden="1" outlineLevel="1">
      <c r="A845" s="12"/>
      <c r="B845" s="9" t="s">
        <v>1516</v>
      </c>
      <c r="C845" s="10">
        <v>9479.0300000000007</v>
      </c>
    </row>
    <row r="846" spans="1:3" ht="27.95" hidden="1" outlineLevel="1">
      <c r="A846" s="12"/>
      <c r="B846" s="9" t="s">
        <v>927</v>
      </c>
      <c r="C846" s="10">
        <v>9146.0799999999981</v>
      </c>
    </row>
    <row r="847" spans="1:3" hidden="1" outlineLevel="1">
      <c r="A847" s="12"/>
      <c r="B847" s="9" t="s">
        <v>1517</v>
      </c>
      <c r="C847" s="10">
        <v>9079.08</v>
      </c>
    </row>
    <row r="848" spans="1:3" ht="27.95" hidden="1" outlineLevel="1">
      <c r="A848" s="12"/>
      <c r="B848" s="9" t="s">
        <v>1300</v>
      </c>
      <c r="C848" s="10">
        <v>8974.2900000000009</v>
      </c>
    </row>
    <row r="849" spans="1:3" ht="27.95" hidden="1" outlineLevel="1">
      <c r="A849" s="12"/>
      <c r="B849" s="9" t="s">
        <v>1518</v>
      </c>
      <c r="C849" s="10">
        <v>8062.58</v>
      </c>
    </row>
    <row r="850" spans="1:3" ht="27.95" hidden="1" outlineLevel="1">
      <c r="A850" s="12"/>
      <c r="B850" s="9" t="s">
        <v>1028</v>
      </c>
      <c r="C850" s="10">
        <v>7800</v>
      </c>
    </row>
    <row r="851" spans="1:3" hidden="1" outlineLevel="1">
      <c r="A851" s="12"/>
      <c r="B851" s="9" t="s">
        <v>1519</v>
      </c>
      <c r="C851" s="10">
        <v>7773.9</v>
      </c>
    </row>
    <row r="852" spans="1:3" ht="27.95" hidden="1" outlineLevel="1">
      <c r="A852" s="12"/>
      <c r="B852" s="9" t="s">
        <v>1520</v>
      </c>
      <c r="C852" s="10">
        <v>7770.8</v>
      </c>
    </row>
    <row r="853" spans="1:3" hidden="1" outlineLevel="1">
      <c r="A853" s="12"/>
      <c r="B853" s="9" t="s">
        <v>1521</v>
      </c>
      <c r="C853" s="10">
        <v>7631.95</v>
      </c>
    </row>
    <row r="854" spans="1:3" ht="27.95" hidden="1" outlineLevel="1">
      <c r="A854" s="12"/>
      <c r="B854" s="9" t="s">
        <v>1522</v>
      </c>
      <c r="C854" s="10">
        <v>7261.55</v>
      </c>
    </row>
    <row r="855" spans="1:3" ht="27.95" hidden="1" outlineLevel="1">
      <c r="A855" s="12"/>
      <c r="B855" s="9" t="s">
        <v>1523</v>
      </c>
      <c r="C855" s="10">
        <v>6871.8099999999995</v>
      </c>
    </row>
    <row r="856" spans="1:3" hidden="1" outlineLevel="1">
      <c r="A856" s="12"/>
      <c r="B856" s="9" t="s">
        <v>1524</v>
      </c>
      <c r="C856" s="10">
        <v>6631.5</v>
      </c>
    </row>
    <row r="857" spans="1:3" ht="27.95" hidden="1" outlineLevel="1">
      <c r="A857" s="12"/>
      <c r="B857" s="9" t="s">
        <v>1525</v>
      </c>
      <c r="C857" s="10">
        <v>6416.6</v>
      </c>
    </row>
    <row r="858" spans="1:3" ht="27.95" hidden="1" outlineLevel="1">
      <c r="A858" s="12"/>
      <c r="B858" s="9" t="s">
        <v>1526</v>
      </c>
      <c r="C858" s="10">
        <v>6306.51</v>
      </c>
    </row>
    <row r="859" spans="1:3" ht="27.95" hidden="1" outlineLevel="1">
      <c r="A859" s="12"/>
      <c r="B859" s="9" t="s">
        <v>1527</v>
      </c>
      <c r="C859" s="10">
        <v>6240.79</v>
      </c>
    </row>
    <row r="860" spans="1:3" hidden="1" outlineLevel="1">
      <c r="A860" s="12"/>
      <c r="B860" s="9" t="s">
        <v>1528</v>
      </c>
      <c r="C860" s="10">
        <v>6146.67</v>
      </c>
    </row>
    <row r="861" spans="1:3" hidden="1" outlineLevel="1">
      <c r="A861" s="12"/>
      <c r="B861" s="9" t="s">
        <v>1529</v>
      </c>
      <c r="C861" s="10">
        <v>6109.6100000000006</v>
      </c>
    </row>
    <row r="862" spans="1:3" hidden="1" outlineLevel="1">
      <c r="A862" s="12"/>
      <c r="B862" s="9" t="s">
        <v>1530</v>
      </c>
      <c r="C862" s="10">
        <v>6000</v>
      </c>
    </row>
    <row r="863" spans="1:3" hidden="1" outlineLevel="1">
      <c r="A863" s="12"/>
      <c r="B863" s="9" t="s">
        <v>1531</v>
      </c>
      <c r="C863" s="10">
        <v>6000</v>
      </c>
    </row>
    <row r="864" spans="1:3" hidden="1" outlineLevel="1">
      <c r="A864" s="12"/>
      <c r="B864" s="9" t="s">
        <v>1034</v>
      </c>
      <c r="C864" s="10">
        <v>5808.86</v>
      </c>
    </row>
    <row r="865" spans="1:3" ht="27.95" hidden="1" outlineLevel="1">
      <c r="A865" s="12"/>
      <c r="B865" s="9" t="s">
        <v>1275</v>
      </c>
      <c r="C865" s="10">
        <v>5726.96</v>
      </c>
    </row>
    <row r="866" spans="1:3" hidden="1" outlineLevel="1">
      <c r="A866" s="12"/>
      <c r="B866" s="9" t="s">
        <v>1532</v>
      </c>
      <c r="C866" s="10">
        <v>5600</v>
      </c>
    </row>
    <row r="867" spans="1:3" hidden="1" outlineLevel="1">
      <c r="A867" s="12"/>
      <c r="B867" s="9" t="s">
        <v>871</v>
      </c>
      <c r="C867" s="10">
        <v>5598.28</v>
      </c>
    </row>
    <row r="868" spans="1:3" hidden="1" outlineLevel="1">
      <c r="A868" s="12"/>
      <c r="B868" s="9" t="s">
        <v>1533</v>
      </c>
      <c r="C868" s="10">
        <v>5494.2</v>
      </c>
    </row>
    <row r="869" spans="1:3" ht="27.95" hidden="1" outlineLevel="1">
      <c r="A869" s="12"/>
      <c r="B869" s="9" t="s">
        <v>1534</v>
      </c>
      <c r="C869" s="10">
        <v>5400</v>
      </c>
    </row>
    <row r="870" spans="1:3" hidden="1" outlineLevel="1">
      <c r="A870" s="12"/>
      <c r="B870" s="9" t="s">
        <v>1019</v>
      </c>
      <c r="C870" s="10">
        <v>5150.28</v>
      </c>
    </row>
    <row r="871" spans="1:3" ht="27.95" hidden="1" outlineLevel="1">
      <c r="A871" s="12"/>
      <c r="B871" s="9" t="s">
        <v>1535</v>
      </c>
      <c r="C871" s="10">
        <v>5138.34</v>
      </c>
    </row>
    <row r="872" spans="1:3" hidden="1" outlineLevel="1">
      <c r="A872" s="12"/>
      <c r="B872" s="9" t="s">
        <v>890</v>
      </c>
      <c r="C872" s="10">
        <v>5042</v>
      </c>
    </row>
    <row r="873" spans="1:3" hidden="1" outlineLevel="1">
      <c r="A873" s="12"/>
      <c r="B873" s="9" t="s">
        <v>1032</v>
      </c>
      <c r="C873" s="10">
        <v>4869.8599999999997</v>
      </c>
    </row>
    <row r="874" spans="1:3" ht="27.95" hidden="1" outlineLevel="1">
      <c r="A874" s="12"/>
      <c r="B874" s="9" t="s">
        <v>1536</v>
      </c>
      <c r="C874" s="10">
        <v>4800</v>
      </c>
    </row>
    <row r="875" spans="1:3" hidden="1" outlineLevel="1">
      <c r="A875" s="12"/>
      <c r="B875" s="9" t="s">
        <v>1537</v>
      </c>
      <c r="C875" s="10">
        <v>4764.0200000000004</v>
      </c>
    </row>
    <row r="876" spans="1:3" hidden="1" outlineLevel="1">
      <c r="A876" s="12"/>
      <c r="B876" s="9" t="s">
        <v>1538</v>
      </c>
      <c r="C876" s="10">
        <v>4738.6400000000003</v>
      </c>
    </row>
    <row r="877" spans="1:3" hidden="1" outlineLevel="1">
      <c r="A877" s="12"/>
      <c r="B877" s="9" t="s">
        <v>900</v>
      </c>
      <c r="C877" s="10">
        <v>4623.53</v>
      </c>
    </row>
    <row r="878" spans="1:3" hidden="1" outlineLevel="1">
      <c r="A878" s="12"/>
      <c r="B878" s="9" t="s">
        <v>1319</v>
      </c>
      <c r="C878" s="10">
        <v>4590.49</v>
      </c>
    </row>
    <row r="879" spans="1:3" hidden="1" outlineLevel="1">
      <c r="A879" s="12"/>
      <c r="B879" s="9" t="s">
        <v>937</v>
      </c>
      <c r="C879" s="10">
        <v>4249.8999999999996</v>
      </c>
    </row>
    <row r="880" spans="1:3" ht="27.95" hidden="1" outlineLevel="1">
      <c r="A880" s="12"/>
      <c r="B880" s="9" t="s">
        <v>1539</v>
      </c>
      <c r="C880" s="10">
        <v>3939.39</v>
      </c>
    </row>
    <row r="881" spans="1:3" hidden="1" outlineLevel="1">
      <c r="A881" s="12"/>
      <c r="B881" s="9" t="s">
        <v>1306</v>
      </c>
      <c r="C881" s="10">
        <v>3850</v>
      </c>
    </row>
    <row r="882" spans="1:3" hidden="1" outlineLevel="1">
      <c r="A882" s="12"/>
      <c r="B882" s="9" t="s">
        <v>1540</v>
      </c>
      <c r="C882" s="10">
        <v>3841.55</v>
      </c>
    </row>
    <row r="883" spans="1:3" hidden="1" outlineLevel="1">
      <c r="A883" s="12"/>
      <c r="B883" s="9" t="s">
        <v>1541</v>
      </c>
      <c r="C883" s="10">
        <v>3758.86</v>
      </c>
    </row>
    <row r="884" spans="1:3" hidden="1" outlineLevel="1">
      <c r="A884" s="12"/>
      <c r="B884" s="9" t="s">
        <v>1038</v>
      </c>
      <c r="C884" s="10">
        <v>3655.88</v>
      </c>
    </row>
    <row r="885" spans="1:3" hidden="1" outlineLevel="1">
      <c r="A885" s="12"/>
      <c r="B885" s="9" t="s">
        <v>930</v>
      </c>
      <c r="C885" s="10">
        <v>3605.2099999999996</v>
      </c>
    </row>
    <row r="886" spans="1:3" hidden="1" outlineLevel="1">
      <c r="A886" s="12"/>
      <c r="B886" s="9" t="s">
        <v>1542</v>
      </c>
      <c r="C886" s="10">
        <v>3337.86</v>
      </c>
    </row>
    <row r="887" spans="1:3" hidden="1" outlineLevel="1">
      <c r="A887" s="12"/>
      <c r="B887" s="9" t="s">
        <v>1543</v>
      </c>
      <c r="C887" s="10">
        <v>3165.59</v>
      </c>
    </row>
    <row r="888" spans="1:3" hidden="1" outlineLevel="1">
      <c r="A888" s="12"/>
      <c r="B888" s="9" t="s">
        <v>1323</v>
      </c>
      <c r="C888" s="10">
        <v>2560.83</v>
      </c>
    </row>
    <row r="889" spans="1:3" hidden="1" outlineLevel="1">
      <c r="A889" s="12"/>
      <c r="B889" s="9" t="s">
        <v>1544</v>
      </c>
      <c r="C889" s="10">
        <v>2529.1</v>
      </c>
    </row>
    <row r="890" spans="1:3" hidden="1" outlineLevel="1">
      <c r="A890" s="12"/>
      <c r="B890" s="9" t="s">
        <v>1212</v>
      </c>
      <c r="C890" s="10">
        <v>2475</v>
      </c>
    </row>
    <row r="891" spans="1:3" ht="27.95" hidden="1" outlineLevel="1">
      <c r="A891" s="12"/>
      <c r="B891" s="9" t="s">
        <v>1545</v>
      </c>
      <c r="C891" s="10">
        <v>2316.15</v>
      </c>
    </row>
    <row r="892" spans="1:3" hidden="1" outlineLevel="1">
      <c r="A892" s="12"/>
      <c r="B892" s="9" t="s">
        <v>1388</v>
      </c>
      <c r="C892" s="10">
        <v>2301.23</v>
      </c>
    </row>
    <row r="893" spans="1:3" ht="27.95" hidden="1" outlineLevel="1">
      <c r="A893" s="12"/>
      <c r="B893" s="9" t="s">
        <v>1042</v>
      </c>
      <c r="C893" s="10">
        <v>2219.35</v>
      </c>
    </row>
    <row r="894" spans="1:3" ht="27.95" hidden="1" outlineLevel="1">
      <c r="A894" s="12"/>
      <c r="B894" s="9" t="s">
        <v>1546</v>
      </c>
      <c r="C894" s="10">
        <v>2020.7</v>
      </c>
    </row>
    <row r="895" spans="1:3" ht="27.95" hidden="1" outlineLevel="1">
      <c r="A895" s="12"/>
      <c r="B895" s="9" t="s">
        <v>1547</v>
      </c>
      <c r="C895" s="10">
        <v>2020.7</v>
      </c>
    </row>
    <row r="896" spans="1:3" hidden="1" outlineLevel="1">
      <c r="A896" s="12"/>
      <c r="B896" s="9" t="s">
        <v>1548</v>
      </c>
      <c r="C896" s="10">
        <v>1885.71</v>
      </c>
    </row>
    <row r="897" spans="1:3" hidden="1" outlineLevel="1">
      <c r="A897" s="12"/>
      <c r="B897" s="9" t="s">
        <v>1549</v>
      </c>
      <c r="C897" s="10">
        <v>1883.32</v>
      </c>
    </row>
    <row r="898" spans="1:3" hidden="1" outlineLevel="1">
      <c r="A898" s="12"/>
      <c r="B898" s="9" t="s">
        <v>935</v>
      </c>
      <c r="C898" s="10">
        <v>1869.28</v>
      </c>
    </row>
    <row r="899" spans="1:3" hidden="1" outlineLevel="1">
      <c r="A899" s="12"/>
      <c r="B899" s="9" t="s">
        <v>1550</v>
      </c>
      <c r="C899" s="10">
        <v>1791.13</v>
      </c>
    </row>
    <row r="900" spans="1:3" hidden="1" outlineLevel="1">
      <c r="A900" s="12"/>
      <c r="B900" s="9" t="s">
        <v>1551</v>
      </c>
      <c r="C900" s="10">
        <v>1640.73</v>
      </c>
    </row>
    <row r="901" spans="1:3" hidden="1" outlineLevel="1">
      <c r="A901" s="12"/>
      <c r="B901" s="9" t="s">
        <v>1041</v>
      </c>
      <c r="C901" s="10">
        <v>1586.89</v>
      </c>
    </row>
    <row r="902" spans="1:3" ht="27.95" hidden="1" outlineLevel="1">
      <c r="A902" s="12"/>
      <c r="B902" s="9" t="s">
        <v>1552</v>
      </c>
      <c r="C902" s="10">
        <v>1583.04</v>
      </c>
    </row>
    <row r="903" spans="1:3" hidden="1" outlineLevel="1">
      <c r="A903" s="12"/>
      <c r="B903" s="9" t="s">
        <v>1553</v>
      </c>
      <c r="C903" s="10">
        <v>1461.78</v>
      </c>
    </row>
    <row r="904" spans="1:3" ht="27.95" hidden="1" outlineLevel="1">
      <c r="A904" s="12"/>
      <c r="B904" s="9" t="s">
        <v>1554</v>
      </c>
      <c r="C904" s="10">
        <v>1409.3</v>
      </c>
    </row>
    <row r="905" spans="1:3" hidden="1" outlineLevel="1">
      <c r="A905" s="12"/>
      <c r="B905" s="9" t="s">
        <v>1555</v>
      </c>
      <c r="C905" s="10">
        <v>1400.88</v>
      </c>
    </row>
    <row r="906" spans="1:3" ht="27.95" hidden="1" outlineLevel="1">
      <c r="A906" s="12"/>
      <c r="B906" s="9" t="s">
        <v>1556</v>
      </c>
      <c r="C906" s="10">
        <v>1237.8699999999999</v>
      </c>
    </row>
    <row r="907" spans="1:3" hidden="1" outlineLevel="1">
      <c r="A907" s="12"/>
      <c r="B907" s="9" t="s">
        <v>1557</v>
      </c>
      <c r="C907" s="10">
        <v>1217.8</v>
      </c>
    </row>
    <row r="908" spans="1:3" hidden="1" outlineLevel="1">
      <c r="A908" s="12"/>
      <c r="B908" s="9" t="s">
        <v>1146</v>
      </c>
      <c r="C908" s="10">
        <v>1189.9000000000001</v>
      </c>
    </row>
    <row r="909" spans="1:3" hidden="1" outlineLevel="1">
      <c r="A909" s="12"/>
      <c r="B909" s="9" t="s">
        <v>911</v>
      </c>
      <c r="C909" s="10">
        <v>1170</v>
      </c>
    </row>
    <row r="910" spans="1:3" hidden="1" outlineLevel="1">
      <c r="A910" s="12"/>
      <c r="B910" s="9" t="s">
        <v>1558</v>
      </c>
      <c r="C910" s="10">
        <v>1163.03</v>
      </c>
    </row>
    <row r="911" spans="1:3" hidden="1" outlineLevel="1">
      <c r="A911" s="12"/>
      <c r="B911" s="9" t="s">
        <v>910</v>
      </c>
      <c r="C911" s="10">
        <v>1101.23</v>
      </c>
    </row>
    <row r="912" spans="1:3" ht="27.95" hidden="1" outlineLevel="1">
      <c r="A912" s="12"/>
      <c r="B912" s="9" t="s">
        <v>945</v>
      </c>
      <c r="C912" s="10">
        <v>949.97</v>
      </c>
    </row>
    <row r="913" spans="1:3" hidden="1" outlineLevel="1">
      <c r="A913" s="12"/>
      <c r="B913" s="9" t="s">
        <v>1559</v>
      </c>
      <c r="C913" s="10">
        <v>948.89</v>
      </c>
    </row>
    <row r="914" spans="1:3" hidden="1" outlineLevel="1">
      <c r="A914" s="12"/>
      <c r="B914" s="9" t="s">
        <v>1560</v>
      </c>
      <c r="C914" s="10">
        <v>943.39</v>
      </c>
    </row>
    <row r="915" spans="1:3" hidden="1" outlineLevel="1">
      <c r="A915" s="12"/>
      <c r="B915" s="9" t="s">
        <v>1561</v>
      </c>
      <c r="C915" s="10">
        <v>938.6</v>
      </c>
    </row>
    <row r="916" spans="1:3" hidden="1" outlineLevel="1">
      <c r="A916" s="12"/>
      <c r="B916" s="9" t="s">
        <v>913</v>
      </c>
      <c r="C916" s="10">
        <v>925.41000000000008</v>
      </c>
    </row>
    <row r="917" spans="1:3" hidden="1" outlineLevel="1">
      <c r="A917" s="12"/>
      <c r="B917" s="9" t="s">
        <v>1325</v>
      </c>
      <c r="C917" s="10">
        <v>772.12</v>
      </c>
    </row>
    <row r="918" spans="1:3" hidden="1" outlineLevel="1">
      <c r="A918" s="12"/>
      <c r="B918" s="9" t="s">
        <v>1562</v>
      </c>
      <c r="C918" s="10">
        <v>764.57</v>
      </c>
    </row>
    <row r="919" spans="1:3" hidden="1" outlineLevel="1">
      <c r="A919" s="12"/>
      <c r="B919" s="9" t="s">
        <v>1563</v>
      </c>
      <c r="C919" s="10">
        <v>658.18</v>
      </c>
    </row>
    <row r="920" spans="1:3" hidden="1" outlineLevel="1">
      <c r="A920" s="12"/>
      <c r="B920" s="9" t="s">
        <v>1564</v>
      </c>
      <c r="C920" s="10">
        <v>641.54</v>
      </c>
    </row>
    <row r="921" spans="1:3" hidden="1" outlineLevel="1">
      <c r="A921" s="12"/>
      <c r="B921" s="9" t="s">
        <v>1565</v>
      </c>
      <c r="C921" s="10">
        <v>513.48</v>
      </c>
    </row>
    <row r="922" spans="1:3" hidden="1" outlineLevel="1">
      <c r="A922" s="12"/>
      <c r="B922" s="9" t="s">
        <v>1566</v>
      </c>
      <c r="C922" s="10">
        <v>478.92</v>
      </c>
    </row>
    <row r="923" spans="1:3" hidden="1" outlineLevel="1">
      <c r="A923" s="12"/>
      <c r="B923" s="9" t="s">
        <v>1567</v>
      </c>
      <c r="C923" s="10">
        <v>448.25</v>
      </c>
    </row>
    <row r="924" spans="1:3" hidden="1" outlineLevel="1">
      <c r="A924" s="12"/>
      <c r="B924" s="9" t="s">
        <v>1322</v>
      </c>
      <c r="C924" s="10">
        <v>431.84</v>
      </c>
    </row>
    <row r="925" spans="1:3" hidden="1" outlineLevel="1">
      <c r="A925" s="12"/>
      <c r="B925" s="9" t="s">
        <v>1568</v>
      </c>
      <c r="C925" s="10">
        <v>402.58</v>
      </c>
    </row>
    <row r="926" spans="1:3" hidden="1" outlineLevel="1">
      <c r="A926" s="12"/>
      <c r="B926" s="9" t="s">
        <v>1569</v>
      </c>
      <c r="C926" s="10">
        <v>381.24</v>
      </c>
    </row>
    <row r="927" spans="1:3" hidden="1" outlineLevel="1">
      <c r="A927" s="12"/>
      <c r="B927" s="9" t="s">
        <v>920</v>
      </c>
      <c r="C927" s="10">
        <v>270</v>
      </c>
    </row>
    <row r="928" spans="1:3" hidden="1" outlineLevel="1">
      <c r="A928" s="12"/>
      <c r="B928" s="9" t="s">
        <v>1330</v>
      </c>
      <c r="C928" s="10">
        <v>266.95</v>
      </c>
    </row>
    <row r="929" spans="1:3" ht="27.95" hidden="1" outlineLevel="1">
      <c r="A929" s="12"/>
      <c r="B929" s="9" t="s">
        <v>1043</v>
      </c>
      <c r="C929" s="10">
        <v>266.88</v>
      </c>
    </row>
    <row r="930" spans="1:3" hidden="1" outlineLevel="1">
      <c r="A930" s="12"/>
      <c r="B930" s="9" t="s">
        <v>1465</v>
      </c>
      <c r="C930" s="10">
        <v>265.5</v>
      </c>
    </row>
    <row r="931" spans="1:3" hidden="1" outlineLevel="1">
      <c r="A931" s="12"/>
      <c r="B931" s="9" t="s">
        <v>1570</v>
      </c>
      <c r="C931" s="10">
        <v>148.04</v>
      </c>
    </row>
    <row r="932" spans="1:3" hidden="1" outlineLevel="1">
      <c r="A932" s="12"/>
      <c r="B932" s="9" t="s">
        <v>1571</v>
      </c>
      <c r="C932" s="10">
        <v>145.44999999999999</v>
      </c>
    </row>
    <row r="933" spans="1:3" hidden="1" outlineLevel="1">
      <c r="A933" s="12"/>
      <c r="B933" s="9" t="s">
        <v>1572</v>
      </c>
      <c r="C933" s="10">
        <v>106.55</v>
      </c>
    </row>
    <row r="934" spans="1:3" hidden="1" outlineLevel="1">
      <c r="A934" s="12"/>
      <c r="B934" s="9" t="s">
        <v>854</v>
      </c>
      <c r="C934" s="10">
        <v>0</v>
      </c>
    </row>
    <row r="935" spans="1:3" ht="27.95" hidden="1" outlineLevel="1">
      <c r="A935" s="12"/>
      <c r="B935" s="9" t="s">
        <v>847</v>
      </c>
      <c r="C935" s="10">
        <v>0</v>
      </c>
    </row>
    <row r="936" spans="1:3" ht="27.95" hidden="1" outlineLevel="1">
      <c r="A936" s="12"/>
      <c r="B936" s="9" t="s">
        <v>853</v>
      </c>
      <c r="C936" s="10">
        <v>0</v>
      </c>
    </row>
    <row r="937" spans="1:3" ht="27.95" hidden="1" outlineLevel="1">
      <c r="A937" s="12"/>
      <c r="B937" s="9" t="s">
        <v>861</v>
      </c>
      <c r="C937" s="10">
        <v>0</v>
      </c>
    </row>
    <row r="938" spans="1:3" ht="27.95" hidden="1" outlineLevel="1">
      <c r="A938" s="12"/>
      <c r="B938" s="9" t="s">
        <v>1573</v>
      </c>
      <c r="C938" s="10">
        <v>0</v>
      </c>
    </row>
    <row r="939" spans="1:3" ht="27.95" hidden="1" outlineLevel="1">
      <c r="A939" s="12"/>
      <c r="B939" s="9" t="s">
        <v>865</v>
      </c>
      <c r="C939" s="10">
        <v>0</v>
      </c>
    </row>
    <row r="940" spans="1:3" ht="27.95" hidden="1" outlineLevel="1">
      <c r="A940" s="12"/>
      <c r="B940" s="9" t="s">
        <v>862</v>
      </c>
      <c r="C940" s="10">
        <v>0</v>
      </c>
    </row>
    <row r="941" spans="1:3" ht="27.95" hidden="1" outlineLevel="1">
      <c r="A941" s="12"/>
      <c r="B941" s="9" t="s">
        <v>1574</v>
      </c>
      <c r="C941" s="10">
        <v>0</v>
      </c>
    </row>
    <row r="942" spans="1:3" ht="27.95" hidden="1" outlineLevel="1">
      <c r="A942" s="12"/>
      <c r="B942" s="9" t="s">
        <v>1575</v>
      </c>
      <c r="C942" s="10">
        <v>0</v>
      </c>
    </row>
    <row r="943" spans="1:3" ht="27.95" hidden="1" outlineLevel="1">
      <c r="A943" s="12"/>
      <c r="B943" s="9" t="s">
        <v>1576</v>
      </c>
      <c r="C943" s="10">
        <v>0</v>
      </c>
    </row>
    <row r="944" spans="1:3" collapsed="1">
      <c r="A944" s="12"/>
      <c r="B944" s="13"/>
      <c r="C944" s="14">
        <f>SUM(C763:C943)</f>
        <v>10318751.770000001</v>
      </c>
    </row>
    <row r="945" spans="1:3">
      <c r="A945" s="12"/>
      <c r="B945" s="9"/>
      <c r="C945" s="10"/>
    </row>
    <row r="946" spans="1:3" ht="56.1">
      <c r="A946" s="47" t="s">
        <v>15</v>
      </c>
      <c r="B946" s="9" t="s">
        <v>1577</v>
      </c>
      <c r="C946" s="10">
        <v>6932882.75</v>
      </c>
    </row>
    <row r="947" spans="1:3" ht="27.95">
      <c r="A947" s="47"/>
      <c r="B947" s="9" t="s">
        <v>1578</v>
      </c>
      <c r="C947" s="10">
        <v>336267.11</v>
      </c>
    </row>
    <row r="948" spans="1:3">
      <c r="A948" s="47"/>
      <c r="B948" s="9" t="s">
        <v>1235</v>
      </c>
      <c r="C948" s="10">
        <v>332211.09999999998</v>
      </c>
    </row>
    <row r="949" spans="1:3" ht="27.95">
      <c r="A949" s="47"/>
      <c r="B949" s="9" t="s">
        <v>1579</v>
      </c>
      <c r="C949" s="10">
        <v>171573.12</v>
      </c>
    </row>
    <row r="950" spans="1:3" ht="27.95">
      <c r="A950" s="47"/>
      <c r="B950" s="9" t="s">
        <v>976</v>
      </c>
      <c r="C950" s="10">
        <v>74587.33</v>
      </c>
    </row>
    <row r="951" spans="1:3">
      <c r="A951" s="47"/>
      <c r="B951" s="9" t="s">
        <v>1580</v>
      </c>
      <c r="C951" s="10">
        <v>8000</v>
      </c>
    </row>
    <row r="952" spans="1:3">
      <c r="A952" s="47"/>
      <c r="B952" s="9" t="s">
        <v>1581</v>
      </c>
      <c r="C952" s="10">
        <v>5000</v>
      </c>
    </row>
    <row r="953" spans="1:3" ht="27.95">
      <c r="A953" s="47"/>
      <c r="B953" s="9" t="s">
        <v>1298</v>
      </c>
      <c r="C953" s="10">
        <v>2669.7</v>
      </c>
    </row>
    <row r="954" spans="1:3">
      <c r="A954" s="47"/>
      <c r="B954" s="9" t="s">
        <v>1323</v>
      </c>
      <c r="C954" s="10">
        <v>2560.83</v>
      </c>
    </row>
    <row r="955" spans="1:3">
      <c r="A955" s="47"/>
      <c r="B955" s="9" t="s">
        <v>1025</v>
      </c>
      <c r="C955" s="10">
        <v>2480.81</v>
      </c>
    </row>
    <row r="956" spans="1:3">
      <c r="A956" s="12"/>
      <c r="B956" s="13"/>
      <c r="C956" s="14">
        <f>SUM(C946:C955)</f>
        <v>7868232.75</v>
      </c>
    </row>
    <row r="957" spans="1:3">
      <c r="A957" s="12"/>
      <c r="B957" s="9"/>
      <c r="C957" s="10"/>
    </row>
    <row r="958" spans="1:3">
      <c r="A958" s="47" t="s">
        <v>7</v>
      </c>
      <c r="B958" s="9" t="s">
        <v>1582</v>
      </c>
      <c r="C958" s="10">
        <v>961163.83</v>
      </c>
    </row>
    <row r="959" spans="1:3" ht="27.95">
      <c r="A959" s="47"/>
      <c r="B959" s="9" t="s">
        <v>1583</v>
      </c>
      <c r="C959" s="10">
        <v>216333.46</v>
      </c>
    </row>
    <row r="960" spans="1:3" ht="27.95">
      <c r="A960" s="47"/>
      <c r="B960" s="9" t="s">
        <v>1584</v>
      </c>
      <c r="C960" s="10">
        <v>171203.07</v>
      </c>
    </row>
    <row r="961" spans="1:3" ht="27.95">
      <c r="A961" s="47"/>
      <c r="B961" s="9" t="s">
        <v>1585</v>
      </c>
      <c r="C961" s="10">
        <v>143264.12</v>
      </c>
    </row>
    <row r="962" spans="1:3" ht="27.95">
      <c r="A962" s="47"/>
      <c r="B962" s="9" t="s">
        <v>1586</v>
      </c>
      <c r="C962" s="10">
        <v>131185.26</v>
      </c>
    </row>
    <row r="963" spans="1:3" ht="27.95">
      <c r="A963" s="47"/>
      <c r="B963" s="9" t="s">
        <v>1587</v>
      </c>
      <c r="C963" s="10">
        <v>125955.79</v>
      </c>
    </row>
    <row r="964" spans="1:3" ht="27.95">
      <c r="A964" s="47"/>
      <c r="B964" s="9" t="s">
        <v>1588</v>
      </c>
      <c r="C964" s="10">
        <v>98569.54</v>
      </c>
    </row>
    <row r="965" spans="1:3" ht="27.95">
      <c r="A965" s="47"/>
      <c r="B965" s="9" t="s">
        <v>1589</v>
      </c>
      <c r="C965" s="10">
        <v>80622.080000000002</v>
      </c>
    </row>
    <row r="966" spans="1:3" ht="27.95">
      <c r="A966" s="47"/>
      <c r="B966" s="9" t="s">
        <v>1590</v>
      </c>
      <c r="C966" s="10">
        <v>78367.42</v>
      </c>
    </row>
    <row r="967" spans="1:3" ht="27.95">
      <c r="A967" s="47"/>
      <c r="B967" s="9" t="s">
        <v>1591</v>
      </c>
      <c r="C967" s="10">
        <v>75094.210000000006</v>
      </c>
    </row>
    <row r="968" spans="1:3" ht="27.95">
      <c r="A968" s="47"/>
      <c r="B968" s="9" t="s">
        <v>1592</v>
      </c>
      <c r="C968" s="10">
        <v>72704</v>
      </c>
    </row>
    <row r="969" spans="1:3" ht="27.95">
      <c r="A969" s="47"/>
      <c r="B969" s="9" t="s">
        <v>1408</v>
      </c>
      <c r="C969" s="10">
        <v>53373.05</v>
      </c>
    </row>
    <row r="970" spans="1:3">
      <c r="A970" s="47"/>
      <c r="B970" s="9" t="s">
        <v>1593</v>
      </c>
      <c r="C970" s="10">
        <v>51130.559999999998</v>
      </c>
    </row>
    <row r="971" spans="1:3">
      <c r="A971" s="47"/>
      <c r="B971" s="9" t="s">
        <v>1594</v>
      </c>
      <c r="C971" s="10">
        <v>22000</v>
      </c>
    </row>
    <row r="972" spans="1:3">
      <c r="A972" s="47"/>
      <c r="B972" s="9" t="s">
        <v>1595</v>
      </c>
      <c r="C972" s="10">
        <v>19140.62</v>
      </c>
    </row>
    <row r="973" spans="1:3">
      <c r="A973" s="47"/>
      <c r="B973" s="9" t="s">
        <v>1025</v>
      </c>
      <c r="C973" s="10">
        <v>12404.05</v>
      </c>
    </row>
    <row r="974" spans="1:3">
      <c r="A974" s="47"/>
      <c r="B974" s="9" t="s">
        <v>923</v>
      </c>
      <c r="C974" s="10">
        <v>12184.15</v>
      </c>
    </row>
    <row r="975" spans="1:3">
      <c r="A975" s="47"/>
      <c r="B975" s="9" t="s">
        <v>1596</v>
      </c>
      <c r="C975" s="10">
        <v>10157.959999999999</v>
      </c>
    </row>
    <row r="976" spans="1:3" ht="27.95">
      <c r="A976" s="47"/>
      <c r="B976" s="9" t="s">
        <v>1597</v>
      </c>
      <c r="C976" s="10">
        <v>10000</v>
      </c>
    </row>
    <row r="977" spans="1:3" ht="27.95">
      <c r="A977" s="47"/>
      <c r="B977" s="9" t="s">
        <v>1480</v>
      </c>
      <c r="C977" s="10">
        <v>8893.9500000000007</v>
      </c>
    </row>
    <row r="978" spans="1:3" ht="27.95" hidden="1" outlineLevel="1">
      <c r="A978" s="12"/>
      <c r="B978" s="9" t="s">
        <v>1345</v>
      </c>
      <c r="C978" s="10">
        <v>8614.06</v>
      </c>
    </row>
    <row r="979" spans="1:3" ht="27.95" hidden="1" outlineLevel="1">
      <c r="A979" s="12"/>
      <c r="B979" s="9" t="s">
        <v>1598</v>
      </c>
      <c r="C979" s="10">
        <v>7935.54</v>
      </c>
    </row>
    <row r="980" spans="1:3" hidden="1" outlineLevel="1">
      <c r="A980" s="12"/>
      <c r="B980" s="9" t="s">
        <v>1599</v>
      </c>
      <c r="C980" s="10">
        <v>7193.64</v>
      </c>
    </row>
    <row r="981" spans="1:3" ht="27.95" hidden="1" outlineLevel="1">
      <c r="A981" s="12"/>
      <c r="B981" s="9" t="s">
        <v>1140</v>
      </c>
      <c r="C981" s="10">
        <v>5895.12</v>
      </c>
    </row>
    <row r="982" spans="1:3" hidden="1" outlineLevel="1">
      <c r="A982" s="12"/>
      <c r="B982" s="9" t="s">
        <v>925</v>
      </c>
      <c r="C982" s="10">
        <v>5289.18</v>
      </c>
    </row>
    <row r="983" spans="1:3" hidden="1" outlineLevel="1">
      <c r="A983" s="12"/>
      <c r="B983" s="9" t="s">
        <v>930</v>
      </c>
      <c r="C983" s="10">
        <v>5049.68</v>
      </c>
    </row>
    <row r="984" spans="1:3" ht="27.95" hidden="1" outlineLevel="1">
      <c r="A984" s="12"/>
      <c r="B984" s="9" t="s">
        <v>1600</v>
      </c>
      <c r="C984" s="10">
        <v>4532.49</v>
      </c>
    </row>
    <row r="985" spans="1:3" hidden="1" outlineLevel="1">
      <c r="A985" s="12"/>
      <c r="B985" s="9" t="s">
        <v>1601</v>
      </c>
      <c r="C985" s="10">
        <v>4285.71</v>
      </c>
    </row>
    <row r="986" spans="1:3" ht="27.95" hidden="1" outlineLevel="1">
      <c r="A986" s="12"/>
      <c r="B986" s="9" t="s">
        <v>1602</v>
      </c>
      <c r="C986" s="10">
        <v>3576.27</v>
      </c>
    </row>
    <row r="987" spans="1:3" ht="42" hidden="1" outlineLevel="1">
      <c r="A987" s="12"/>
      <c r="B987" s="9" t="s">
        <v>1603</v>
      </c>
      <c r="C987" s="10">
        <v>3014.53</v>
      </c>
    </row>
    <row r="988" spans="1:3" ht="27.95" hidden="1" outlineLevel="1">
      <c r="A988" s="12"/>
      <c r="B988" s="9" t="s">
        <v>927</v>
      </c>
      <c r="C988" s="10">
        <v>2284.44</v>
      </c>
    </row>
    <row r="989" spans="1:3" hidden="1" outlineLevel="1">
      <c r="A989" s="12"/>
      <c r="B989" s="9" t="s">
        <v>1604</v>
      </c>
      <c r="C989" s="10">
        <v>1851.66</v>
      </c>
    </row>
    <row r="990" spans="1:3" hidden="1" outlineLevel="1">
      <c r="A990" s="12"/>
      <c r="B990" s="9" t="s">
        <v>937</v>
      </c>
      <c r="C990" s="10">
        <v>1699.96</v>
      </c>
    </row>
    <row r="991" spans="1:3" hidden="1" outlineLevel="1">
      <c r="A991" s="12"/>
      <c r="B991" s="9" t="s">
        <v>910</v>
      </c>
      <c r="C991" s="10">
        <v>1101.23</v>
      </c>
    </row>
    <row r="992" spans="1:3" hidden="1" outlineLevel="1">
      <c r="A992" s="12"/>
      <c r="B992" s="9" t="s">
        <v>1465</v>
      </c>
      <c r="C992" s="10">
        <v>265.5</v>
      </c>
    </row>
    <row r="993" spans="1:3" ht="27.95" hidden="1" outlineLevel="1">
      <c r="A993" s="12"/>
      <c r="B993" s="9" t="s">
        <v>945</v>
      </c>
      <c r="C993" s="10">
        <v>99.68</v>
      </c>
    </row>
    <row r="994" spans="1:3" collapsed="1">
      <c r="A994" s="12"/>
      <c r="B994" s="13"/>
      <c r="C994" s="14">
        <f>SUM(C958:C977)</f>
        <v>2353747.12</v>
      </c>
    </row>
    <row r="995" spans="1:3">
      <c r="A995" s="12"/>
      <c r="B995" s="9"/>
      <c r="C995" s="10"/>
    </row>
    <row r="996" spans="1:3" ht="27.95">
      <c r="A996" s="47" t="s">
        <v>17</v>
      </c>
      <c r="B996" s="9" t="s">
        <v>877</v>
      </c>
      <c r="C996" s="10">
        <v>153289.93</v>
      </c>
    </row>
    <row r="997" spans="1:3">
      <c r="A997" s="47"/>
      <c r="B997" s="9" t="s">
        <v>1605</v>
      </c>
      <c r="C997" s="10">
        <v>5000</v>
      </c>
    </row>
    <row r="998" spans="1:3" ht="27.95">
      <c r="A998" s="47"/>
      <c r="B998" s="9" t="s">
        <v>1606</v>
      </c>
      <c r="C998" s="10">
        <v>3214.07</v>
      </c>
    </row>
    <row r="999" spans="1:3">
      <c r="A999" s="47"/>
      <c r="B999" s="9" t="s">
        <v>1032</v>
      </c>
      <c r="C999" s="10">
        <v>2434.9299999999998</v>
      </c>
    </row>
    <row r="1000" spans="1:3" ht="27.95">
      <c r="A1000" s="47"/>
      <c r="B1000" s="9" t="s">
        <v>927</v>
      </c>
      <c r="C1000" s="10">
        <v>574.23</v>
      </c>
    </row>
    <row r="1001" spans="1:3" ht="27.95">
      <c r="A1001" s="47"/>
      <c r="B1001" s="9" t="s">
        <v>945</v>
      </c>
      <c r="C1001" s="10">
        <v>557.96</v>
      </c>
    </row>
    <row r="1002" spans="1:3">
      <c r="A1002" s="47"/>
      <c r="B1002" s="9" t="s">
        <v>1607</v>
      </c>
      <c r="C1002" s="10">
        <v>154.22</v>
      </c>
    </row>
    <row r="1003" spans="1:3">
      <c r="A1003" s="12"/>
      <c r="B1003" s="13"/>
      <c r="C1003" s="14">
        <f>SUM(C996:C1002)</f>
        <v>165225.34</v>
      </c>
    </row>
    <row r="1004" spans="1:3">
      <c r="A1004" s="12"/>
      <c r="B1004" s="9"/>
      <c r="C1004" s="10"/>
    </row>
    <row r="1005" spans="1:3">
      <c r="A1005" s="47" t="s">
        <v>16</v>
      </c>
      <c r="B1005" s="9" t="s">
        <v>1608</v>
      </c>
      <c r="C1005" s="10">
        <v>9876.5499999999993</v>
      </c>
    </row>
    <row r="1006" spans="1:3" ht="27.95">
      <c r="A1006" s="47"/>
      <c r="B1006" s="9" t="s">
        <v>1470</v>
      </c>
      <c r="C1006" s="10">
        <v>7745.11</v>
      </c>
    </row>
    <row r="1007" spans="1:3">
      <c r="A1007" s="47"/>
      <c r="B1007" s="9" t="s">
        <v>1609</v>
      </c>
      <c r="C1007" s="10">
        <v>5000</v>
      </c>
    </row>
    <row r="1008" spans="1:3" ht="27.95">
      <c r="A1008" s="47"/>
      <c r="B1008" s="9" t="s">
        <v>1042</v>
      </c>
      <c r="C1008" s="10">
        <v>443.87</v>
      </c>
    </row>
    <row r="1009" spans="1:3">
      <c r="A1009" s="12"/>
      <c r="B1009" s="13"/>
      <c r="C1009" s="14">
        <f>SUM(C1005:C1008)</f>
        <v>23065.53</v>
      </c>
    </row>
    <row r="1010" spans="1:3">
      <c r="A1010" s="12"/>
      <c r="B1010" s="9"/>
      <c r="C1010" s="10"/>
    </row>
  </sheetData>
  <sortState xmlns:xlrd2="http://schemas.microsoft.com/office/spreadsheetml/2017/richdata2" ref="A1005:C1008">
    <sortCondition descending="1" ref="C1005:C1008"/>
  </sortState>
  <mergeCells count="12">
    <mergeCell ref="A580:A654"/>
    <mergeCell ref="A5:A24"/>
    <mergeCell ref="A114:A133"/>
    <mergeCell ref="A227:A245"/>
    <mergeCell ref="A369:A388"/>
    <mergeCell ref="A434:A454"/>
    <mergeCell ref="A1005:A1008"/>
    <mergeCell ref="A657:A676"/>
    <mergeCell ref="A763:A782"/>
    <mergeCell ref="A946:A955"/>
    <mergeCell ref="A958:A977"/>
    <mergeCell ref="A996:A100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0ACC-49C0-4B64-B5E0-F7B5E4553DFF}">
  <dimension ref="A4:E871"/>
  <sheetViews>
    <sheetView tabSelected="1" topLeftCell="A706" zoomScaleNormal="100" workbookViewId="0">
      <selection activeCell="E742" sqref="E742"/>
    </sheetView>
  </sheetViews>
  <sheetFormatPr defaultColWidth="24" defaultRowHeight="14.1" outlineLevelRow="1"/>
  <cols>
    <col min="1" max="1" width="24" style="3"/>
    <col min="2" max="2" width="43.85546875" style="4" customWidth="1"/>
    <col min="3" max="3" width="24" style="5"/>
    <col min="4" max="16384" width="24" style="3"/>
  </cols>
  <sheetData>
    <row r="4" spans="1:3">
      <c r="A4" s="17" t="s">
        <v>24</v>
      </c>
      <c r="B4" s="18" t="s">
        <v>25</v>
      </c>
      <c r="C4" s="19" t="s">
        <v>26</v>
      </c>
    </row>
    <row r="5" spans="1:3" ht="14.45" customHeight="1">
      <c r="A5" s="49" t="s">
        <v>5</v>
      </c>
      <c r="B5" s="9" t="s">
        <v>844</v>
      </c>
      <c r="C5" s="10">
        <v>16284123.6</v>
      </c>
    </row>
    <row r="6" spans="1:3">
      <c r="A6" s="49"/>
      <c r="B6" s="9" t="s">
        <v>842</v>
      </c>
      <c r="C6" s="10">
        <v>16029034.709999995</v>
      </c>
    </row>
    <row r="7" spans="1:3">
      <c r="A7" s="49"/>
      <c r="B7" s="9" t="s">
        <v>843</v>
      </c>
      <c r="C7" s="10">
        <v>15621134.869999999</v>
      </c>
    </row>
    <row r="8" spans="1:3">
      <c r="A8" s="49"/>
      <c r="B8" s="9" t="s">
        <v>1610</v>
      </c>
      <c r="C8" s="10">
        <v>9280741.2799999993</v>
      </c>
    </row>
    <row r="9" spans="1:3" ht="27.95">
      <c r="A9" s="49"/>
      <c r="B9" s="9" t="s">
        <v>1611</v>
      </c>
      <c r="C9" s="10">
        <v>5437370.3099999996</v>
      </c>
    </row>
    <row r="10" spans="1:3">
      <c r="A10" s="49"/>
      <c r="B10" s="9" t="s">
        <v>1399</v>
      </c>
      <c r="C10" s="10">
        <v>4552039.76</v>
      </c>
    </row>
    <row r="11" spans="1:3" ht="27.95">
      <c r="A11" s="49"/>
      <c r="B11" s="9" t="s">
        <v>847</v>
      </c>
      <c r="C11" s="10">
        <v>2602484.16</v>
      </c>
    </row>
    <row r="12" spans="1:3" ht="56.1">
      <c r="A12" s="49"/>
      <c r="B12" s="9" t="s">
        <v>1612</v>
      </c>
      <c r="C12" s="11">
        <v>2113352.21</v>
      </c>
    </row>
    <row r="13" spans="1:3">
      <c r="A13" s="49"/>
      <c r="B13" s="9" t="s">
        <v>856</v>
      </c>
      <c r="C13" s="10">
        <v>1176269.45</v>
      </c>
    </row>
    <row r="14" spans="1:3" ht="27.95">
      <c r="A14" s="49"/>
      <c r="B14" s="9" t="s">
        <v>857</v>
      </c>
      <c r="C14" s="10">
        <v>1103137.81</v>
      </c>
    </row>
    <row r="15" spans="1:3">
      <c r="A15" s="49"/>
      <c r="B15" s="9" t="s">
        <v>1613</v>
      </c>
      <c r="C15" s="10">
        <v>998749.12</v>
      </c>
    </row>
    <row r="16" spans="1:3" ht="27.95">
      <c r="A16" s="49"/>
      <c r="B16" s="9" t="s">
        <v>1614</v>
      </c>
      <c r="C16" s="10">
        <v>981612.4</v>
      </c>
    </row>
    <row r="17" spans="1:3" ht="27.95">
      <c r="A17" s="49"/>
      <c r="B17" s="9" t="s">
        <v>1615</v>
      </c>
      <c r="C17" s="10">
        <v>967503.61</v>
      </c>
    </row>
    <row r="18" spans="1:3">
      <c r="A18" s="49"/>
      <c r="B18" s="9" t="s">
        <v>1616</v>
      </c>
      <c r="C18" s="10">
        <v>897030.83</v>
      </c>
    </row>
    <row r="19" spans="1:3">
      <c r="A19" s="49"/>
      <c r="B19" s="9" t="s">
        <v>851</v>
      </c>
      <c r="C19" s="10">
        <v>876273.17</v>
      </c>
    </row>
    <row r="20" spans="1:3">
      <c r="A20" s="49"/>
      <c r="B20" s="9" t="s">
        <v>852</v>
      </c>
      <c r="C20" s="10">
        <v>824909.3</v>
      </c>
    </row>
    <row r="21" spans="1:3">
      <c r="A21" s="49"/>
      <c r="B21" s="9" t="s">
        <v>854</v>
      </c>
      <c r="C21" s="10">
        <v>818880.32</v>
      </c>
    </row>
    <row r="22" spans="1:3" ht="27.95">
      <c r="A22" s="49"/>
      <c r="B22" s="9" t="s">
        <v>1617</v>
      </c>
      <c r="C22" s="10">
        <v>810768.02</v>
      </c>
    </row>
    <row r="23" spans="1:3">
      <c r="A23" s="49"/>
      <c r="B23" s="9" t="s">
        <v>1618</v>
      </c>
      <c r="C23" s="10">
        <v>743042.77</v>
      </c>
    </row>
    <row r="24" spans="1:3" ht="27.95">
      <c r="A24" s="49"/>
      <c r="B24" s="9" t="s">
        <v>1240</v>
      </c>
      <c r="C24" s="10">
        <v>704350.71999999997</v>
      </c>
    </row>
    <row r="25" spans="1:3" hidden="1" outlineLevel="1">
      <c r="A25" s="12"/>
      <c r="B25" s="9" t="s">
        <v>1619</v>
      </c>
      <c r="C25" s="10">
        <v>686576.32</v>
      </c>
    </row>
    <row r="26" spans="1:3" ht="56.1" hidden="1" outlineLevel="1">
      <c r="A26" s="12"/>
      <c r="B26" s="9" t="s">
        <v>1620</v>
      </c>
      <c r="C26" s="10">
        <v>672563.61</v>
      </c>
    </row>
    <row r="27" spans="1:3" ht="27.95" hidden="1" outlineLevel="1">
      <c r="A27" s="12"/>
      <c r="B27" s="9" t="s">
        <v>853</v>
      </c>
      <c r="C27" s="10">
        <v>601944.67999999993</v>
      </c>
    </row>
    <row r="28" spans="1:3" ht="27.95" hidden="1" outlineLevel="1">
      <c r="A28" s="12"/>
      <c r="B28" s="9" t="s">
        <v>1621</v>
      </c>
      <c r="C28" s="10">
        <v>567300</v>
      </c>
    </row>
    <row r="29" spans="1:3" ht="27.95" hidden="1" outlineLevel="1">
      <c r="A29" s="12"/>
      <c r="B29" s="9" t="s">
        <v>859</v>
      </c>
      <c r="C29" s="10">
        <v>541865.29</v>
      </c>
    </row>
    <row r="30" spans="1:3" ht="27.95" hidden="1" outlineLevel="1">
      <c r="A30" s="12"/>
      <c r="B30" s="9" t="s">
        <v>1622</v>
      </c>
      <c r="C30" s="10">
        <v>476017.21</v>
      </c>
    </row>
    <row r="31" spans="1:3" hidden="1" outlineLevel="1">
      <c r="A31" s="12"/>
      <c r="B31" s="9" t="s">
        <v>1623</v>
      </c>
      <c r="C31" s="10">
        <v>442635.41000000003</v>
      </c>
    </row>
    <row r="32" spans="1:3" ht="27.95" hidden="1" outlineLevel="1">
      <c r="A32" s="12"/>
      <c r="B32" s="9" t="s">
        <v>1624</v>
      </c>
      <c r="C32" s="10">
        <v>427808.58</v>
      </c>
    </row>
    <row r="33" spans="1:3" ht="27.95" hidden="1" outlineLevel="1">
      <c r="A33" s="12"/>
      <c r="B33" s="9" t="s">
        <v>1625</v>
      </c>
      <c r="C33" s="10">
        <v>409279.24</v>
      </c>
    </row>
    <row r="34" spans="1:3" hidden="1" outlineLevel="1">
      <c r="A34" s="12"/>
      <c r="B34" s="9" t="s">
        <v>876</v>
      </c>
      <c r="C34" s="10">
        <v>392987.5</v>
      </c>
    </row>
    <row r="35" spans="1:3" ht="27.95" hidden="1" outlineLevel="1">
      <c r="A35" s="12"/>
      <c r="B35" s="9" t="s">
        <v>855</v>
      </c>
      <c r="C35" s="10">
        <v>363648.69</v>
      </c>
    </row>
    <row r="36" spans="1:3" ht="27.95" hidden="1" outlineLevel="1">
      <c r="A36" s="12"/>
      <c r="B36" s="9" t="s">
        <v>1626</v>
      </c>
      <c r="C36" s="10">
        <v>361347.16</v>
      </c>
    </row>
    <row r="37" spans="1:3" ht="27.95" hidden="1" outlineLevel="1">
      <c r="A37" s="12"/>
      <c r="B37" s="9" t="s">
        <v>1627</v>
      </c>
      <c r="C37" s="10">
        <v>354125.99</v>
      </c>
    </row>
    <row r="38" spans="1:3" ht="27.95" hidden="1" outlineLevel="1">
      <c r="A38" s="12"/>
      <c r="B38" s="9" t="s">
        <v>860</v>
      </c>
      <c r="C38" s="10">
        <v>322113.06</v>
      </c>
    </row>
    <row r="39" spans="1:3" hidden="1" outlineLevel="1">
      <c r="A39" s="12"/>
      <c r="B39" s="9" t="s">
        <v>870</v>
      </c>
      <c r="C39" s="10">
        <v>291292.52</v>
      </c>
    </row>
    <row r="40" spans="1:3" ht="27.95" hidden="1" outlineLevel="1">
      <c r="A40" s="12"/>
      <c r="B40" s="9" t="s">
        <v>863</v>
      </c>
      <c r="C40" s="10">
        <v>245203.68</v>
      </c>
    </row>
    <row r="41" spans="1:3" ht="27.95" hidden="1" outlineLevel="1">
      <c r="A41" s="12"/>
      <c r="B41" s="9" t="s">
        <v>1628</v>
      </c>
      <c r="C41" s="10">
        <v>224460.84</v>
      </c>
    </row>
    <row r="42" spans="1:3" ht="27.95" hidden="1" outlineLevel="1">
      <c r="A42" s="12"/>
      <c r="B42" s="9" t="s">
        <v>1629</v>
      </c>
      <c r="C42" s="10">
        <v>214436.65</v>
      </c>
    </row>
    <row r="43" spans="1:3" ht="27.95" hidden="1" outlineLevel="1">
      <c r="A43" s="12"/>
      <c r="B43" s="9" t="s">
        <v>867</v>
      </c>
      <c r="C43" s="10">
        <v>193434.64</v>
      </c>
    </row>
    <row r="44" spans="1:3" ht="27.95" hidden="1" outlineLevel="1">
      <c r="A44" s="12"/>
      <c r="B44" s="9" t="s">
        <v>1630</v>
      </c>
      <c r="C44" s="10">
        <v>176696.91</v>
      </c>
    </row>
    <row r="45" spans="1:3" ht="27.95" hidden="1" outlineLevel="1">
      <c r="A45" s="12"/>
      <c r="B45" s="9" t="s">
        <v>1631</v>
      </c>
      <c r="C45" s="10">
        <v>165473.51999999999</v>
      </c>
    </row>
    <row r="46" spans="1:3" ht="27.95" hidden="1" outlineLevel="1">
      <c r="A46" s="12"/>
      <c r="B46" s="9" t="s">
        <v>865</v>
      </c>
      <c r="C46" s="10">
        <v>147449.23000000001</v>
      </c>
    </row>
    <row r="47" spans="1:3" hidden="1" outlineLevel="1">
      <c r="A47" s="12"/>
      <c r="B47" s="9" t="s">
        <v>864</v>
      </c>
      <c r="C47" s="10">
        <v>146000</v>
      </c>
    </row>
    <row r="48" spans="1:3" hidden="1" outlineLevel="1">
      <c r="A48" s="12"/>
      <c r="B48" s="9" t="s">
        <v>868</v>
      </c>
      <c r="C48" s="10">
        <v>119198.38</v>
      </c>
    </row>
    <row r="49" spans="1:3" ht="27.95" hidden="1" outlineLevel="1">
      <c r="A49" s="12"/>
      <c r="B49" s="9" t="s">
        <v>1632</v>
      </c>
      <c r="C49" s="10">
        <v>107841.71</v>
      </c>
    </row>
    <row r="50" spans="1:3" hidden="1" outlineLevel="1">
      <c r="A50" s="12"/>
      <c r="B50" s="9" t="s">
        <v>889</v>
      </c>
      <c r="C50" s="10">
        <v>98000</v>
      </c>
    </row>
    <row r="51" spans="1:3" hidden="1" outlineLevel="1">
      <c r="A51" s="12"/>
      <c r="B51" s="9" t="s">
        <v>891</v>
      </c>
      <c r="C51" s="10">
        <v>92972.359999999986</v>
      </c>
    </row>
    <row r="52" spans="1:3" hidden="1" outlineLevel="1">
      <c r="A52" s="12"/>
      <c r="B52" s="9" t="s">
        <v>1633</v>
      </c>
      <c r="C52" s="10">
        <v>89912.12</v>
      </c>
    </row>
    <row r="53" spans="1:3" hidden="1" outlineLevel="1">
      <c r="A53" s="12"/>
      <c r="B53" s="9" t="s">
        <v>1634</v>
      </c>
      <c r="C53" s="10">
        <v>74505.100000000006</v>
      </c>
    </row>
    <row r="54" spans="1:3" ht="27.95" hidden="1" outlineLevel="1">
      <c r="A54" s="12"/>
      <c r="B54" s="9" t="s">
        <v>1635</v>
      </c>
      <c r="C54" s="10">
        <v>72271.37</v>
      </c>
    </row>
    <row r="55" spans="1:3" ht="27.95" hidden="1" outlineLevel="1">
      <c r="A55" s="12"/>
      <c r="B55" s="9" t="s">
        <v>1636</v>
      </c>
      <c r="C55" s="10">
        <v>71331.679999999993</v>
      </c>
    </row>
    <row r="56" spans="1:3" hidden="1" outlineLevel="1">
      <c r="A56" s="12"/>
      <c r="B56" s="9" t="s">
        <v>872</v>
      </c>
      <c r="C56" s="10">
        <v>60000</v>
      </c>
    </row>
    <row r="57" spans="1:3" hidden="1" outlineLevel="1">
      <c r="A57" s="12"/>
      <c r="B57" s="9" t="s">
        <v>900</v>
      </c>
      <c r="C57" s="10">
        <v>50858.82</v>
      </c>
    </row>
    <row r="58" spans="1:3" hidden="1" outlineLevel="1">
      <c r="A58" s="12"/>
      <c r="B58" s="9" t="s">
        <v>871</v>
      </c>
      <c r="C58" s="10">
        <v>44786.2</v>
      </c>
    </row>
    <row r="59" spans="1:3" hidden="1" outlineLevel="1">
      <c r="A59" s="12"/>
      <c r="B59" s="9" t="s">
        <v>881</v>
      </c>
      <c r="C59" s="10">
        <v>42816.189999999995</v>
      </c>
    </row>
    <row r="60" spans="1:3" hidden="1" outlineLevel="1">
      <c r="A60" s="12"/>
      <c r="B60" s="9" t="s">
        <v>899</v>
      </c>
      <c r="C60" s="10">
        <v>42000</v>
      </c>
    </row>
    <row r="61" spans="1:3" hidden="1" outlineLevel="1">
      <c r="A61" s="12"/>
      <c r="B61" s="9" t="s">
        <v>894</v>
      </c>
      <c r="C61" s="10">
        <v>38766.239999999998</v>
      </c>
    </row>
    <row r="62" spans="1:3" hidden="1" outlineLevel="1">
      <c r="A62" s="12"/>
      <c r="B62" s="9" t="s">
        <v>1637</v>
      </c>
      <c r="C62" s="10">
        <v>38421.340000000004</v>
      </c>
    </row>
    <row r="63" spans="1:3" ht="27.95" hidden="1" outlineLevel="1">
      <c r="A63" s="12"/>
      <c r="B63" s="9" t="s">
        <v>888</v>
      </c>
      <c r="C63" s="10">
        <v>35018.57</v>
      </c>
    </row>
    <row r="64" spans="1:3" ht="27.95" hidden="1" outlineLevel="1">
      <c r="A64" s="12"/>
      <c r="B64" s="9" t="s">
        <v>887</v>
      </c>
      <c r="C64" s="10">
        <v>30138.38</v>
      </c>
    </row>
    <row r="65" spans="1:3" hidden="1" outlineLevel="1">
      <c r="A65" s="12"/>
      <c r="B65" s="9" t="s">
        <v>1638</v>
      </c>
      <c r="C65" s="10">
        <v>26701.919999999998</v>
      </c>
    </row>
    <row r="66" spans="1:3" hidden="1" outlineLevel="1">
      <c r="A66" s="12"/>
      <c r="B66" s="9" t="s">
        <v>1254</v>
      </c>
      <c r="C66" s="10">
        <v>26560.639999999999</v>
      </c>
    </row>
    <row r="67" spans="1:3" hidden="1" outlineLevel="1">
      <c r="A67" s="12"/>
      <c r="B67" s="9" t="s">
        <v>1639</v>
      </c>
      <c r="C67" s="10">
        <v>26423.420000000002</v>
      </c>
    </row>
    <row r="68" spans="1:3" ht="27.95" hidden="1" outlineLevel="1">
      <c r="A68" s="12"/>
      <c r="B68" s="9" t="s">
        <v>875</v>
      </c>
      <c r="C68" s="10">
        <v>26371.08</v>
      </c>
    </row>
    <row r="69" spans="1:3" hidden="1" outlineLevel="1">
      <c r="A69" s="12"/>
      <c r="B69" s="9" t="s">
        <v>914</v>
      </c>
      <c r="C69" s="10">
        <v>26007.170000000002</v>
      </c>
    </row>
    <row r="70" spans="1:3" hidden="1" outlineLevel="1">
      <c r="A70" s="12"/>
      <c r="B70" s="9" t="s">
        <v>1640</v>
      </c>
      <c r="C70" s="10">
        <v>22633.119999999999</v>
      </c>
    </row>
    <row r="71" spans="1:3" hidden="1" outlineLevel="1">
      <c r="A71" s="12"/>
      <c r="B71" s="9" t="s">
        <v>895</v>
      </c>
      <c r="C71" s="10">
        <v>22050</v>
      </c>
    </row>
    <row r="72" spans="1:3" hidden="1" outlineLevel="1">
      <c r="A72" s="12"/>
      <c r="B72" s="9" t="s">
        <v>904</v>
      </c>
      <c r="C72" s="10">
        <v>21645.109999999997</v>
      </c>
    </row>
    <row r="73" spans="1:3" ht="27.95" hidden="1" outlineLevel="1">
      <c r="A73" s="12"/>
      <c r="B73" s="9" t="s">
        <v>901</v>
      </c>
      <c r="C73" s="10">
        <v>18303.25</v>
      </c>
    </row>
    <row r="74" spans="1:3" hidden="1" outlineLevel="1">
      <c r="A74" s="12"/>
      <c r="B74" s="9" t="s">
        <v>906</v>
      </c>
      <c r="C74" s="10">
        <v>17290</v>
      </c>
    </row>
    <row r="75" spans="1:3" hidden="1" outlineLevel="1">
      <c r="A75" s="12"/>
      <c r="B75" s="9" t="s">
        <v>897</v>
      </c>
      <c r="C75" s="10">
        <v>16562</v>
      </c>
    </row>
    <row r="76" spans="1:3" hidden="1" outlineLevel="1">
      <c r="A76" s="12"/>
      <c r="B76" s="9" t="s">
        <v>913</v>
      </c>
      <c r="C76" s="10">
        <v>14189.64</v>
      </c>
    </row>
    <row r="77" spans="1:3" hidden="1" outlineLevel="1">
      <c r="A77" s="12"/>
      <c r="B77" s="9" t="s">
        <v>866</v>
      </c>
      <c r="C77" s="10">
        <v>13889.61</v>
      </c>
    </row>
    <row r="78" spans="1:3" hidden="1" outlineLevel="1">
      <c r="A78" s="12"/>
      <c r="B78" s="9" t="s">
        <v>921</v>
      </c>
      <c r="C78" s="10">
        <v>13718.36</v>
      </c>
    </row>
    <row r="79" spans="1:3" hidden="1" outlineLevel="1">
      <c r="A79" s="12"/>
      <c r="B79" s="9" t="s">
        <v>936</v>
      </c>
      <c r="C79" s="10">
        <v>12784.26</v>
      </c>
    </row>
    <row r="80" spans="1:3" hidden="1" outlineLevel="1">
      <c r="A80" s="12"/>
      <c r="B80" s="9" t="s">
        <v>1641</v>
      </c>
      <c r="C80" s="10">
        <v>12600</v>
      </c>
    </row>
    <row r="81" spans="1:3" ht="27.95" hidden="1" outlineLevel="1">
      <c r="A81" s="12"/>
      <c r="B81" s="9" t="s">
        <v>892</v>
      </c>
      <c r="C81" s="10">
        <v>12460.3</v>
      </c>
    </row>
    <row r="82" spans="1:3" hidden="1" outlineLevel="1">
      <c r="A82" s="12"/>
      <c r="B82" s="9" t="s">
        <v>1642</v>
      </c>
      <c r="C82" s="10">
        <v>12207.06</v>
      </c>
    </row>
    <row r="83" spans="1:3" hidden="1" outlineLevel="1">
      <c r="A83" s="12"/>
      <c r="B83" s="9" t="s">
        <v>1643</v>
      </c>
      <c r="C83" s="10">
        <v>12055.15</v>
      </c>
    </row>
    <row r="84" spans="1:3" ht="27.95" hidden="1" outlineLevel="1">
      <c r="A84" s="12"/>
      <c r="B84" s="9" t="s">
        <v>905</v>
      </c>
      <c r="C84" s="10">
        <v>11115.74</v>
      </c>
    </row>
    <row r="85" spans="1:3" hidden="1" outlineLevel="1">
      <c r="A85" s="12"/>
      <c r="B85" s="9" t="s">
        <v>910</v>
      </c>
      <c r="C85" s="10">
        <v>10245.829999999998</v>
      </c>
    </row>
    <row r="86" spans="1:3" ht="27.95" hidden="1" outlineLevel="1">
      <c r="A86" s="12"/>
      <c r="B86" s="9" t="s">
        <v>909</v>
      </c>
      <c r="C86" s="10">
        <v>9566.2099999999991</v>
      </c>
    </row>
    <row r="87" spans="1:3" hidden="1" outlineLevel="1">
      <c r="A87" s="12"/>
      <c r="B87" s="9" t="s">
        <v>912</v>
      </c>
      <c r="C87" s="10">
        <v>9450</v>
      </c>
    </row>
    <row r="88" spans="1:3" hidden="1" outlineLevel="1">
      <c r="A88" s="12"/>
      <c r="B88" s="9" t="s">
        <v>917</v>
      </c>
      <c r="C88" s="10">
        <v>9283.0499999999993</v>
      </c>
    </row>
    <row r="89" spans="1:3" hidden="1" outlineLevel="1">
      <c r="A89" s="12"/>
      <c r="B89" s="9" t="s">
        <v>873</v>
      </c>
      <c r="C89" s="10">
        <v>9200</v>
      </c>
    </row>
    <row r="90" spans="1:3" hidden="1" outlineLevel="1">
      <c r="A90" s="12"/>
      <c r="B90" s="9" t="s">
        <v>919</v>
      </c>
      <c r="C90" s="10">
        <v>8871.59</v>
      </c>
    </row>
    <row r="91" spans="1:3" hidden="1" outlineLevel="1">
      <c r="A91" s="12"/>
      <c r="B91" s="9" t="s">
        <v>935</v>
      </c>
      <c r="C91" s="10">
        <v>8411.77</v>
      </c>
    </row>
    <row r="92" spans="1:3" hidden="1" outlineLevel="1">
      <c r="A92" s="12"/>
      <c r="B92" s="9" t="s">
        <v>886</v>
      </c>
      <c r="C92" s="10">
        <v>8359.8700000000008</v>
      </c>
    </row>
    <row r="93" spans="1:3" hidden="1" outlineLevel="1">
      <c r="A93" s="12"/>
      <c r="B93" s="9" t="s">
        <v>1644</v>
      </c>
      <c r="C93" s="10">
        <v>7500</v>
      </c>
    </row>
    <row r="94" spans="1:3" hidden="1" outlineLevel="1">
      <c r="A94" s="12"/>
      <c r="B94" s="9" t="s">
        <v>926</v>
      </c>
      <c r="C94" s="10">
        <v>7350</v>
      </c>
    </row>
    <row r="95" spans="1:3" hidden="1" outlineLevel="1">
      <c r="A95" s="12"/>
      <c r="B95" s="9" t="s">
        <v>1030</v>
      </c>
      <c r="C95" s="10">
        <v>6665.28</v>
      </c>
    </row>
    <row r="96" spans="1:3" hidden="1" outlineLevel="1">
      <c r="A96" s="12"/>
      <c r="B96" s="9" t="s">
        <v>920</v>
      </c>
      <c r="C96" s="10">
        <v>6165</v>
      </c>
    </row>
    <row r="97" spans="1:3" hidden="1" outlineLevel="1">
      <c r="A97" s="12"/>
      <c r="B97" s="9" t="s">
        <v>932</v>
      </c>
      <c r="C97" s="10">
        <v>6027.48</v>
      </c>
    </row>
    <row r="98" spans="1:3" ht="27.95" hidden="1" outlineLevel="1">
      <c r="A98" s="12"/>
      <c r="B98" s="9" t="s">
        <v>1645</v>
      </c>
      <c r="C98" s="10">
        <v>5229.49</v>
      </c>
    </row>
    <row r="99" spans="1:3" hidden="1" outlineLevel="1">
      <c r="A99" s="12"/>
      <c r="B99" s="9" t="s">
        <v>929</v>
      </c>
      <c r="C99" s="10">
        <v>4987.25</v>
      </c>
    </row>
    <row r="100" spans="1:3" hidden="1" outlineLevel="1">
      <c r="A100" s="12"/>
      <c r="B100" s="9" t="s">
        <v>911</v>
      </c>
      <c r="C100" s="10">
        <v>4680</v>
      </c>
    </row>
    <row r="101" spans="1:3" hidden="1" outlineLevel="1">
      <c r="A101" s="12"/>
      <c r="B101" s="9" t="s">
        <v>1646</v>
      </c>
      <c r="C101" s="10">
        <v>4454.67</v>
      </c>
    </row>
    <row r="102" spans="1:3" hidden="1" outlineLevel="1">
      <c r="A102" s="12"/>
      <c r="B102" s="9" t="s">
        <v>934</v>
      </c>
      <c r="C102" s="10">
        <v>4079.6800000000003</v>
      </c>
    </row>
    <row r="103" spans="1:3" hidden="1" outlineLevel="1">
      <c r="A103" s="12"/>
      <c r="B103" s="9" t="s">
        <v>1647</v>
      </c>
      <c r="C103" s="10">
        <v>3848.08</v>
      </c>
    </row>
    <row r="104" spans="1:3" hidden="1" outlineLevel="1">
      <c r="A104" s="12"/>
      <c r="B104" s="9" t="s">
        <v>918</v>
      </c>
      <c r="C104" s="10">
        <v>3613.2</v>
      </c>
    </row>
    <row r="105" spans="1:3" hidden="1" outlineLevel="1">
      <c r="A105" s="12"/>
      <c r="B105" s="9" t="s">
        <v>924</v>
      </c>
      <c r="C105" s="10">
        <v>3600</v>
      </c>
    </row>
    <row r="106" spans="1:3" hidden="1" outlineLevel="1">
      <c r="A106" s="12"/>
      <c r="B106" s="9" t="s">
        <v>1648</v>
      </c>
      <c r="C106" s="10">
        <v>2800</v>
      </c>
    </row>
    <row r="107" spans="1:3" hidden="1" outlineLevel="1">
      <c r="A107" s="12"/>
      <c r="B107" s="9" t="s">
        <v>933</v>
      </c>
      <c r="C107" s="10">
        <v>2621.67</v>
      </c>
    </row>
    <row r="108" spans="1:3" hidden="1" outlineLevel="1">
      <c r="A108" s="12"/>
      <c r="B108" s="9" t="s">
        <v>938</v>
      </c>
      <c r="C108" s="10">
        <v>2550</v>
      </c>
    </row>
    <row r="109" spans="1:3" hidden="1" outlineLevel="1">
      <c r="A109" s="12"/>
      <c r="B109" s="9" t="s">
        <v>943</v>
      </c>
      <c r="C109" s="10">
        <v>2101.1899999999996</v>
      </c>
    </row>
    <row r="110" spans="1:3" hidden="1" outlineLevel="1">
      <c r="A110" s="12"/>
      <c r="B110" s="9" t="s">
        <v>944</v>
      </c>
      <c r="C110" s="10">
        <v>1980</v>
      </c>
    </row>
    <row r="111" spans="1:3" hidden="1" outlineLevel="1">
      <c r="A111" s="12"/>
      <c r="B111" s="9" t="s">
        <v>1464</v>
      </c>
      <c r="C111" s="10">
        <v>1906.61</v>
      </c>
    </row>
    <row r="112" spans="1:3" ht="27.95" hidden="1" outlineLevel="1">
      <c r="A112" s="12"/>
      <c r="B112" s="9" t="s">
        <v>928</v>
      </c>
      <c r="C112" s="10">
        <v>1673.61</v>
      </c>
    </row>
    <row r="113" spans="1:3" hidden="1" outlineLevel="1">
      <c r="A113" s="12"/>
      <c r="B113" s="9" t="s">
        <v>1649</v>
      </c>
      <c r="C113" s="10">
        <v>1500</v>
      </c>
    </row>
    <row r="114" spans="1:3" hidden="1" outlineLevel="1">
      <c r="A114" s="12"/>
      <c r="B114" s="9" t="s">
        <v>1650</v>
      </c>
      <c r="C114" s="10">
        <v>1320</v>
      </c>
    </row>
    <row r="115" spans="1:3" hidden="1" outlineLevel="1">
      <c r="A115" s="12"/>
      <c r="B115" s="9" t="s">
        <v>1651</v>
      </c>
      <c r="C115" s="10">
        <v>1109.8399999999999</v>
      </c>
    </row>
    <row r="116" spans="1:3" hidden="1" outlineLevel="1">
      <c r="A116" s="12"/>
      <c r="B116" s="9" t="s">
        <v>1652</v>
      </c>
      <c r="C116" s="10">
        <v>926.92</v>
      </c>
    </row>
    <row r="117" spans="1:3" hidden="1" outlineLevel="1">
      <c r="A117" s="12"/>
      <c r="B117" s="9" t="s">
        <v>1323</v>
      </c>
      <c r="C117" s="10">
        <v>908.13</v>
      </c>
    </row>
    <row r="118" spans="1:3" hidden="1" outlineLevel="1">
      <c r="A118" s="12"/>
      <c r="B118" s="9" t="s">
        <v>1653</v>
      </c>
      <c r="C118" s="10">
        <v>890.58</v>
      </c>
    </row>
    <row r="119" spans="1:3" hidden="1" outlineLevel="1">
      <c r="A119" s="12"/>
      <c r="B119" s="9" t="s">
        <v>1654</v>
      </c>
      <c r="C119" s="10">
        <v>752.13</v>
      </c>
    </row>
    <row r="120" spans="1:3" hidden="1" outlineLevel="1">
      <c r="A120" s="12"/>
      <c r="B120" s="9" t="s">
        <v>930</v>
      </c>
      <c r="C120" s="10">
        <v>728.19</v>
      </c>
    </row>
    <row r="121" spans="1:3" hidden="1" outlineLevel="1">
      <c r="A121" s="12"/>
      <c r="B121" s="9" t="s">
        <v>1655</v>
      </c>
      <c r="C121" s="10">
        <v>661.51</v>
      </c>
    </row>
    <row r="122" spans="1:3" hidden="1" outlineLevel="1">
      <c r="A122" s="12"/>
      <c r="B122" s="9" t="s">
        <v>1656</v>
      </c>
      <c r="C122" s="10">
        <v>626.82000000000005</v>
      </c>
    </row>
    <row r="123" spans="1:3" hidden="1" outlineLevel="1">
      <c r="A123" s="12"/>
      <c r="B123" s="9" t="s">
        <v>1565</v>
      </c>
      <c r="C123" s="10">
        <v>513.48</v>
      </c>
    </row>
    <row r="124" spans="1:3" hidden="1" outlineLevel="1">
      <c r="A124" s="12"/>
      <c r="B124" s="9" t="s">
        <v>1657</v>
      </c>
      <c r="C124" s="10">
        <v>458.12</v>
      </c>
    </row>
    <row r="125" spans="1:3" hidden="1" outlineLevel="1">
      <c r="A125" s="12"/>
      <c r="B125" s="9" t="s">
        <v>1224</v>
      </c>
      <c r="C125" s="10">
        <v>408.45</v>
      </c>
    </row>
    <row r="126" spans="1:3" hidden="1" outlineLevel="1">
      <c r="A126" s="12"/>
      <c r="B126" s="9" t="s">
        <v>1332</v>
      </c>
      <c r="C126" s="10">
        <v>359.44</v>
      </c>
    </row>
    <row r="127" spans="1:3" hidden="1" outlineLevel="1">
      <c r="A127" s="12"/>
      <c r="B127" s="9" t="s">
        <v>1658</v>
      </c>
      <c r="C127" s="10">
        <v>261.16000000000003</v>
      </c>
    </row>
    <row r="128" spans="1:3" hidden="1" outlineLevel="1">
      <c r="A128" s="12"/>
      <c r="B128" s="9" t="s">
        <v>1659</v>
      </c>
      <c r="C128" s="10">
        <v>200</v>
      </c>
    </row>
    <row r="129" spans="1:3" hidden="1" outlineLevel="1">
      <c r="A129" s="12"/>
      <c r="B129" s="9" t="s">
        <v>1660</v>
      </c>
      <c r="C129" s="10">
        <v>61.27</v>
      </c>
    </row>
    <row r="130" spans="1:3" collapsed="1">
      <c r="A130" s="12"/>
      <c r="B130" s="13"/>
      <c r="C130" s="14">
        <f>SUM(C5:C24)</f>
        <v>82822808.419999987</v>
      </c>
    </row>
    <row r="131" spans="1:3">
      <c r="A131" s="12"/>
      <c r="B131" s="9"/>
      <c r="C131" s="10"/>
    </row>
    <row r="132" spans="1:3">
      <c r="A132" s="12"/>
      <c r="B132" s="9"/>
      <c r="C132" s="10"/>
    </row>
    <row r="133" spans="1:3" ht="27.95">
      <c r="A133" s="49" t="s">
        <v>8</v>
      </c>
      <c r="B133" s="9" t="s">
        <v>1661</v>
      </c>
      <c r="C133" s="10">
        <v>10717922.23</v>
      </c>
    </row>
    <row r="134" spans="1:3" ht="27.95">
      <c r="A134" s="49"/>
      <c r="B134" s="9" t="s">
        <v>1174</v>
      </c>
      <c r="C134" s="10">
        <v>3732123.4699999997</v>
      </c>
    </row>
    <row r="135" spans="1:3" ht="27.95">
      <c r="A135" s="49"/>
      <c r="B135" s="9" t="s">
        <v>1662</v>
      </c>
      <c r="C135" s="10">
        <v>1328148.1499999999</v>
      </c>
    </row>
    <row r="136" spans="1:3" ht="27.95">
      <c r="A136" s="49"/>
      <c r="B136" s="9" t="s">
        <v>1181</v>
      </c>
      <c r="C136" s="10">
        <v>651837.39</v>
      </c>
    </row>
    <row r="137" spans="1:3" ht="27.95">
      <c r="A137" s="49"/>
      <c r="B137" s="9" t="s">
        <v>1663</v>
      </c>
      <c r="C137" s="10">
        <v>581766.03</v>
      </c>
    </row>
    <row r="138" spans="1:3" ht="27.95">
      <c r="A138" s="49"/>
      <c r="B138" s="9" t="s">
        <v>1664</v>
      </c>
      <c r="C138" s="10">
        <v>564741.30000000005</v>
      </c>
    </row>
    <row r="139" spans="1:3" ht="27.95">
      <c r="A139" s="49"/>
      <c r="B139" s="9" t="s">
        <v>1185</v>
      </c>
      <c r="C139" s="10">
        <v>279529.93</v>
      </c>
    </row>
    <row r="140" spans="1:3" ht="27.95">
      <c r="A140" s="49"/>
      <c r="B140" s="9" t="s">
        <v>1665</v>
      </c>
      <c r="C140" s="10">
        <v>276028.5</v>
      </c>
    </row>
    <row r="141" spans="1:3" ht="27.95">
      <c r="A141" s="49"/>
      <c r="B141" s="9" t="s">
        <v>1179</v>
      </c>
      <c r="C141" s="10">
        <v>251893.83</v>
      </c>
    </row>
    <row r="142" spans="1:3" ht="27.95">
      <c r="A142" s="49"/>
      <c r="B142" s="9" t="s">
        <v>1666</v>
      </c>
      <c r="C142" s="10">
        <v>222923.31</v>
      </c>
    </row>
    <row r="143" spans="1:3">
      <c r="A143" s="49"/>
      <c r="B143" s="9" t="s">
        <v>1207</v>
      </c>
      <c r="C143" s="10">
        <v>159000</v>
      </c>
    </row>
    <row r="144" spans="1:3">
      <c r="A144" s="49"/>
      <c r="B144" s="9" t="s">
        <v>1189</v>
      </c>
      <c r="C144" s="10">
        <v>127100.07999999999</v>
      </c>
    </row>
    <row r="145" spans="1:3" ht="27.95">
      <c r="A145" s="49"/>
      <c r="B145" s="9" t="s">
        <v>1178</v>
      </c>
      <c r="C145" s="10">
        <v>123393.62</v>
      </c>
    </row>
    <row r="146" spans="1:3">
      <c r="A146" s="49"/>
      <c r="B146" s="9" t="s">
        <v>1275</v>
      </c>
      <c r="C146" s="10">
        <v>120266.19</v>
      </c>
    </row>
    <row r="147" spans="1:3">
      <c r="A147" s="49"/>
      <c r="B147" s="9" t="s">
        <v>1667</v>
      </c>
      <c r="C147" s="10">
        <v>86173.9</v>
      </c>
    </row>
    <row r="148" spans="1:3">
      <c r="A148" s="49"/>
      <c r="B148" s="9" t="s">
        <v>1198</v>
      </c>
      <c r="C148" s="10">
        <v>79200</v>
      </c>
    </row>
    <row r="149" spans="1:3">
      <c r="A149" s="49"/>
      <c r="B149" s="9" t="s">
        <v>1200</v>
      </c>
      <c r="C149" s="10">
        <v>77864.44</v>
      </c>
    </row>
    <row r="150" spans="1:3">
      <c r="A150" s="49"/>
      <c r="B150" s="9" t="s">
        <v>881</v>
      </c>
      <c r="C150" s="10">
        <v>62964.959999999999</v>
      </c>
    </row>
    <row r="151" spans="1:3">
      <c r="A151" s="49"/>
      <c r="B151" s="9" t="s">
        <v>878</v>
      </c>
      <c r="C151" s="10">
        <v>50201.36</v>
      </c>
    </row>
    <row r="152" spans="1:3" ht="27.95">
      <c r="A152" s="49"/>
      <c r="B152" s="9" t="s">
        <v>1668</v>
      </c>
      <c r="C152" s="10">
        <v>43056.61</v>
      </c>
    </row>
    <row r="153" spans="1:3" hidden="1" outlineLevel="1">
      <c r="A153" s="12"/>
      <c r="B153" s="9" t="s">
        <v>1647</v>
      </c>
      <c r="C153" s="10">
        <v>40700.97</v>
      </c>
    </row>
    <row r="154" spans="1:3" hidden="1" outlineLevel="1">
      <c r="A154" s="12"/>
      <c r="B154" s="9" t="s">
        <v>1192</v>
      </c>
      <c r="C154" s="10">
        <v>39718.51</v>
      </c>
    </row>
    <row r="155" spans="1:3" hidden="1" outlineLevel="1">
      <c r="A155" s="12"/>
      <c r="B155" s="9" t="s">
        <v>1669</v>
      </c>
      <c r="C155" s="10">
        <v>39580.300000000003</v>
      </c>
    </row>
    <row r="156" spans="1:3" ht="42" hidden="1" outlineLevel="1">
      <c r="A156" s="12"/>
      <c r="B156" s="9" t="s">
        <v>1088</v>
      </c>
      <c r="C156" s="10">
        <v>37721.67</v>
      </c>
    </row>
    <row r="157" spans="1:3" ht="27.95" hidden="1" outlineLevel="1">
      <c r="A157" s="12"/>
      <c r="B157" s="9" t="s">
        <v>1670</v>
      </c>
      <c r="C157" s="10">
        <v>31647.61</v>
      </c>
    </row>
    <row r="158" spans="1:3" ht="42" hidden="1" outlineLevel="1">
      <c r="A158" s="12"/>
      <c r="B158" s="9" t="s">
        <v>1256</v>
      </c>
      <c r="C158" s="10">
        <v>30294.81</v>
      </c>
    </row>
    <row r="159" spans="1:3" hidden="1" outlineLevel="1">
      <c r="A159" s="12"/>
      <c r="B159" s="9" t="s">
        <v>1270</v>
      </c>
      <c r="C159" s="10">
        <v>22466.43</v>
      </c>
    </row>
    <row r="160" spans="1:3" hidden="1" outlineLevel="1">
      <c r="A160" s="12"/>
      <c r="B160" s="9" t="s">
        <v>1671</v>
      </c>
      <c r="C160" s="10">
        <v>20340.12</v>
      </c>
    </row>
    <row r="161" spans="1:3" hidden="1" outlineLevel="1">
      <c r="A161" s="12"/>
      <c r="B161" s="9" t="s">
        <v>1211</v>
      </c>
      <c r="C161" s="10">
        <v>14729.36</v>
      </c>
    </row>
    <row r="162" spans="1:3" hidden="1" outlineLevel="1">
      <c r="A162" s="12"/>
      <c r="B162" s="9" t="s">
        <v>995</v>
      </c>
      <c r="C162" s="10">
        <v>13973.22</v>
      </c>
    </row>
    <row r="163" spans="1:3" hidden="1" outlineLevel="1">
      <c r="A163" s="12"/>
      <c r="B163" s="9" t="s">
        <v>1672</v>
      </c>
      <c r="C163" s="10">
        <v>11708.24</v>
      </c>
    </row>
    <row r="164" spans="1:3" hidden="1" outlineLevel="1">
      <c r="A164" s="12"/>
      <c r="B164" s="9" t="s">
        <v>871</v>
      </c>
      <c r="C164" s="10">
        <v>11196.55</v>
      </c>
    </row>
    <row r="165" spans="1:3" ht="27.95" hidden="1" outlineLevel="1">
      <c r="A165" s="12"/>
      <c r="B165" s="9" t="s">
        <v>1217</v>
      </c>
      <c r="C165" s="10">
        <v>9515.7800000000007</v>
      </c>
    </row>
    <row r="166" spans="1:3" ht="27.95" hidden="1" outlineLevel="1">
      <c r="A166" s="12"/>
      <c r="B166" s="9" t="s">
        <v>1108</v>
      </c>
      <c r="C166" s="10">
        <v>9317.32</v>
      </c>
    </row>
    <row r="167" spans="1:3" hidden="1" outlineLevel="1">
      <c r="A167" s="12"/>
      <c r="B167" s="9" t="s">
        <v>1219</v>
      </c>
      <c r="C167" s="10">
        <v>8259.7899999999991</v>
      </c>
    </row>
    <row r="168" spans="1:3" hidden="1" outlineLevel="1">
      <c r="A168" s="12"/>
      <c r="B168" s="9" t="s">
        <v>1673</v>
      </c>
      <c r="C168" s="10">
        <v>7798.42</v>
      </c>
    </row>
    <row r="169" spans="1:3" hidden="1" outlineLevel="1">
      <c r="A169" s="12"/>
      <c r="B169" s="9" t="s">
        <v>1497</v>
      </c>
      <c r="C169" s="10">
        <v>5584.38</v>
      </c>
    </row>
    <row r="170" spans="1:3" ht="27.95" hidden="1" outlineLevel="1">
      <c r="A170" s="12"/>
      <c r="B170" s="9" t="s">
        <v>1492</v>
      </c>
      <c r="C170" s="10">
        <v>5544.71</v>
      </c>
    </row>
    <row r="171" spans="1:3" hidden="1" outlineLevel="1">
      <c r="A171" s="12"/>
      <c r="B171" s="9" t="s">
        <v>890</v>
      </c>
      <c r="C171" s="10">
        <v>5070.9799999999996</v>
      </c>
    </row>
    <row r="172" spans="1:3" hidden="1" outlineLevel="1">
      <c r="A172" s="12"/>
      <c r="B172" s="9" t="s">
        <v>1025</v>
      </c>
      <c r="C172" s="10">
        <v>4961.63</v>
      </c>
    </row>
    <row r="173" spans="1:3" hidden="1" outlineLevel="1">
      <c r="A173" s="12"/>
      <c r="B173" s="9" t="s">
        <v>1067</v>
      </c>
      <c r="C173" s="10">
        <v>4940</v>
      </c>
    </row>
    <row r="174" spans="1:3" ht="27.95" hidden="1" outlineLevel="1">
      <c r="A174" s="12"/>
      <c r="B174" s="9" t="s">
        <v>1674</v>
      </c>
      <c r="C174" s="10">
        <v>3895.58</v>
      </c>
    </row>
    <row r="175" spans="1:3" ht="27.95" hidden="1" outlineLevel="1">
      <c r="A175" s="12"/>
      <c r="B175" s="9" t="s">
        <v>1493</v>
      </c>
      <c r="C175" s="10">
        <v>3600</v>
      </c>
    </row>
    <row r="176" spans="1:3" hidden="1" outlineLevel="1">
      <c r="A176" s="12"/>
      <c r="B176" s="9" t="s">
        <v>1675</v>
      </c>
      <c r="C176" s="10">
        <v>3101.03</v>
      </c>
    </row>
    <row r="177" spans="1:3" hidden="1" outlineLevel="1">
      <c r="A177" s="12"/>
      <c r="B177" s="9" t="s">
        <v>1676</v>
      </c>
      <c r="C177" s="10">
        <v>2488.38</v>
      </c>
    </row>
    <row r="178" spans="1:3" hidden="1" outlineLevel="1">
      <c r="A178" s="12"/>
      <c r="B178" s="9" t="s">
        <v>917</v>
      </c>
      <c r="C178" s="10">
        <v>1856.61</v>
      </c>
    </row>
    <row r="179" spans="1:3" hidden="1" outlineLevel="1">
      <c r="A179" s="12"/>
      <c r="B179" s="9" t="s">
        <v>1506</v>
      </c>
      <c r="C179" s="10">
        <v>1600</v>
      </c>
    </row>
    <row r="180" spans="1:3" hidden="1" outlineLevel="1">
      <c r="A180" s="12"/>
      <c r="B180" s="9" t="s">
        <v>1607</v>
      </c>
      <c r="C180" s="10">
        <v>1233.77</v>
      </c>
    </row>
    <row r="181" spans="1:3" hidden="1" outlineLevel="1">
      <c r="A181" s="12"/>
      <c r="B181" s="9" t="s">
        <v>1677</v>
      </c>
      <c r="C181" s="10">
        <v>1100</v>
      </c>
    </row>
    <row r="182" spans="1:3" hidden="1" outlineLevel="1">
      <c r="A182" s="12"/>
      <c r="B182" s="9" t="s">
        <v>1040</v>
      </c>
      <c r="C182" s="10">
        <v>959.2</v>
      </c>
    </row>
    <row r="183" spans="1:3" hidden="1" outlineLevel="1">
      <c r="A183" s="12"/>
      <c r="B183" s="9" t="s">
        <v>1678</v>
      </c>
      <c r="C183" s="10">
        <v>702.94</v>
      </c>
    </row>
    <row r="184" spans="1:3" hidden="1" outlineLevel="1">
      <c r="A184" s="12"/>
      <c r="B184" s="9" t="s">
        <v>1505</v>
      </c>
      <c r="C184" s="10">
        <v>618.30999999999995</v>
      </c>
    </row>
    <row r="185" spans="1:3" hidden="1" outlineLevel="1">
      <c r="A185" s="12"/>
      <c r="B185" s="9" t="s">
        <v>1659</v>
      </c>
      <c r="C185" s="10">
        <v>560</v>
      </c>
    </row>
    <row r="186" spans="1:3" hidden="1" outlineLevel="1">
      <c r="A186" s="12"/>
      <c r="B186" s="9" t="s">
        <v>1679</v>
      </c>
      <c r="C186" s="10">
        <v>552.41999999999996</v>
      </c>
    </row>
    <row r="187" spans="1:3" hidden="1" outlineLevel="1">
      <c r="A187" s="12"/>
      <c r="B187" s="9" t="s">
        <v>1680</v>
      </c>
      <c r="C187" s="10">
        <v>397.69</v>
      </c>
    </row>
    <row r="188" spans="1:3" hidden="1" outlineLevel="1">
      <c r="A188" s="12"/>
      <c r="B188" s="9" t="s">
        <v>1464</v>
      </c>
      <c r="C188" s="10">
        <v>305.06</v>
      </c>
    </row>
    <row r="189" spans="1:3" hidden="1" outlineLevel="1">
      <c r="A189" s="12"/>
      <c r="B189" s="9" t="s">
        <v>1681</v>
      </c>
      <c r="C189" s="10">
        <v>100</v>
      </c>
    </row>
    <row r="190" spans="1:3" hidden="1" outlineLevel="1">
      <c r="A190" s="12"/>
      <c r="B190" s="9" t="s">
        <v>1332</v>
      </c>
      <c r="C190" s="10">
        <v>59.91</v>
      </c>
    </row>
    <row r="191" spans="1:3" hidden="1" outlineLevel="1">
      <c r="A191" s="12"/>
      <c r="B191" s="9" t="s">
        <v>1608</v>
      </c>
      <c r="C191" s="10">
        <v>0</v>
      </c>
    </row>
    <row r="192" spans="1:3" collapsed="1">
      <c r="A192" s="12"/>
      <c r="B192" s="13"/>
      <c r="C192" s="14">
        <f>SUM(C133:C152)</f>
        <v>19536135.299999997</v>
      </c>
    </row>
    <row r="193" spans="1:3">
      <c r="A193" s="12"/>
      <c r="B193" s="9"/>
      <c r="C193" s="10"/>
    </row>
    <row r="194" spans="1:3">
      <c r="A194" s="12"/>
      <c r="B194" s="9"/>
      <c r="C194" s="10"/>
    </row>
    <row r="195" spans="1:3">
      <c r="A195" s="12"/>
      <c r="B195" s="9"/>
      <c r="C195" s="10"/>
    </row>
    <row r="196" spans="1:3" ht="27.95">
      <c r="A196" s="49" t="s">
        <v>6</v>
      </c>
      <c r="B196" s="9" t="s">
        <v>1682</v>
      </c>
      <c r="C196" s="15">
        <v>9010271.0399999991</v>
      </c>
    </row>
    <row r="197" spans="1:3" ht="27.95">
      <c r="A197" s="49"/>
      <c r="B197" s="9" t="s">
        <v>1683</v>
      </c>
      <c r="C197" s="15">
        <v>7831196.0899999999</v>
      </c>
    </row>
    <row r="198" spans="1:3" ht="27.95">
      <c r="A198" s="49"/>
      <c r="B198" s="9" t="s">
        <v>1684</v>
      </c>
      <c r="C198" s="10">
        <v>2375791.19</v>
      </c>
    </row>
    <row r="199" spans="1:3" ht="42">
      <c r="A199" s="49"/>
      <c r="B199" s="9" t="s">
        <v>1685</v>
      </c>
      <c r="C199" s="10">
        <v>1783027.68</v>
      </c>
    </row>
    <row r="200" spans="1:3">
      <c r="A200" s="49"/>
      <c r="B200" s="9" t="s">
        <v>1686</v>
      </c>
      <c r="C200" s="10">
        <v>990869.15</v>
      </c>
    </row>
    <row r="201" spans="1:3" ht="27.95">
      <c r="A201" s="49"/>
      <c r="B201" s="9" t="s">
        <v>859</v>
      </c>
      <c r="C201" s="10">
        <v>910132.05999999994</v>
      </c>
    </row>
    <row r="202" spans="1:3">
      <c r="A202" s="49"/>
      <c r="B202" s="9" t="s">
        <v>1687</v>
      </c>
      <c r="C202" s="10">
        <v>891340.67</v>
      </c>
    </row>
    <row r="203" spans="1:3">
      <c r="A203" s="49"/>
      <c r="B203" s="9" t="s">
        <v>1688</v>
      </c>
      <c r="C203" s="10">
        <v>667313.31000000006</v>
      </c>
    </row>
    <row r="204" spans="1:3" ht="27.95">
      <c r="A204" s="49"/>
      <c r="B204" s="9" t="s">
        <v>1263</v>
      </c>
      <c r="C204" s="10">
        <v>667221.54</v>
      </c>
    </row>
    <row r="205" spans="1:3" ht="42">
      <c r="A205" s="49"/>
      <c r="B205" s="9" t="s">
        <v>1689</v>
      </c>
      <c r="C205" s="10">
        <v>575740.77</v>
      </c>
    </row>
    <row r="206" spans="1:3">
      <c r="A206" s="49"/>
      <c r="B206" s="9" t="s">
        <v>1690</v>
      </c>
      <c r="C206" s="10">
        <v>574765.5</v>
      </c>
    </row>
    <row r="207" spans="1:3">
      <c r="A207" s="49"/>
      <c r="B207" s="9" t="s">
        <v>1241</v>
      </c>
      <c r="C207" s="10">
        <v>570375.80000000005</v>
      </c>
    </row>
    <row r="208" spans="1:3">
      <c r="A208" s="49"/>
      <c r="B208" s="9" t="s">
        <v>1691</v>
      </c>
      <c r="C208" s="10">
        <v>495745.82</v>
      </c>
    </row>
    <row r="209" spans="1:3">
      <c r="A209" s="49"/>
      <c r="B209" s="9" t="s">
        <v>1692</v>
      </c>
      <c r="C209" s="10">
        <v>454735.24</v>
      </c>
    </row>
    <row r="210" spans="1:3" ht="27.95">
      <c r="A210" s="49"/>
      <c r="B210" s="9" t="s">
        <v>1693</v>
      </c>
      <c r="C210" s="10">
        <v>410921.33</v>
      </c>
    </row>
    <row r="211" spans="1:3">
      <c r="A211" s="49"/>
      <c r="B211" s="9" t="s">
        <v>1694</v>
      </c>
      <c r="C211" s="10">
        <v>408182.02</v>
      </c>
    </row>
    <row r="212" spans="1:3" ht="27.95">
      <c r="A212" s="49"/>
      <c r="B212" s="9" t="s">
        <v>1239</v>
      </c>
      <c r="C212" s="10">
        <v>402090.79</v>
      </c>
    </row>
    <row r="213" spans="1:3" ht="27.95">
      <c r="A213" s="49"/>
      <c r="B213" s="9" t="s">
        <v>1695</v>
      </c>
      <c r="C213" s="10">
        <v>397830.87</v>
      </c>
    </row>
    <row r="214" spans="1:3" ht="27.95">
      <c r="A214" s="49"/>
      <c r="B214" s="9" t="s">
        <v>1250</v>
      </c>
      <c r="C214" s="10">
        <v>363774.02999999997</v>
      </c>
    </row>
    <row r="215" spans="1:3" ht="27.95">
      <c r="A215" s="49"/>
      <c r="B215" s="9" t="s">
        <v>1635</v>
      </c>
      <c r="C215" s="10">
        <v>361356.87</v>
      </c>
    </row>
    <row r="216" spans="1:3" hidden="1" outlineLevel="1">
      <c r="A216" s="12"/>
      <c r="B216" s="9" t="s">
        <v>1235</v>
      </c>
      <c r="C216" s="10">
        <v>332211.09999999998</v>
      </c>
    </row>
    <row r="217" spans="1:3" ht="27.95" hidden="1" outlineLevel="1">
      <c r="A217" s="12"/>
      <c r="B217" s="9" t="s">
        <v>1244</v>
      </c>
      <c r="C217" s="10">
        <v>320571.34000000003</v>
      </c>
    </row>
    <row r="218" spans="1:3" ht="27.95" hidden="1" outlineLevel="1">
      <c r="A218" s="12"/>
      <c r="B218" s="9" t="s">
        <v>1253</v>
      </c>
      <c r="C218" s="10">
        <v>281459.39</v>
      </c>
    </row>
    <row r="219" spans="1:3" ht="27.95" hidden="1" outlineLevel="1">
      <c r="A219" s="12"/>
      <c r="B219" s="9" t="s">
        <v>1259</v>
      </c>
      <c r="C219" s="10">
        <v>276258.65000000002</v>
      </c>
    </row>
    <row r="220" spans="1:3" ht="27.95" hidden="1" outlineLevel="1">
      <c r="A220" s="12"/>
      <c r="B220" s="9" t="s">
        <v>1696</v>
      </c>
      <c r="C220" s="10">
        <v>260679.55</v>
      </c>
    </row>
    <row r="221" spans="1:3" ht="27.95" hidden="1" outlineLevel="1">
      <c r="A221" s="12"/>
      <c r="B221" s="9" t="s">
        <v>1697</v>
      </c>
      <c r="C221" s="10">
        <v>254835.48</v>
      </c>
    </row>
    <row r="222" spans="1:3" ht="27.95" hidden="1" outlineLevel="1">
      <c r="A222" s="12"/>
      <c r="B222" s="9" t="s">
        <v>1698</v>
      </c>
      <c r="C222" s="10">
        <v>239767.29</v>
      </c>
    </row>
    <row r="223" spans="1:3" hidden="1" outlineLevel="1">
      <c r="A223" s="12"/>
      <c r="B223" s="9" t="s">
        <v>1699</v>
      </c>
      <c r="C223" s="10">
        <v>223437.49</v>
      </c>
    </row>
    <row r="224" spans="1:3" ht="27.95" hidden="1" outlineLevel="1">
      <c r="A224" s="12"/>
      <c r="B224" s="9" t="s">
        <v>1700</v>
      </c>
      <c r="C224" s="10">
        <v>214640</v>
      </c>
    </row>
    <row r="225" spans="1:3" ht="27.95" hidden="1" outlineLevel="1">
      <c r="A225" s="12"/>
      <c r="B225" s="9" t="s">
        <v>1701</v>
      </c>
      <c r="C225" s="10">
        <v>207705.16</v>
      </c>
    </row>
    <row r="226" spans="1:3" hidden="1" outlineLevel="1">
      <c r="A226" s="12"/>
      <c r="B226" s="9" t="s">
        <v>1702</v>
      </c>
      <c r="C226" s="10">
        <v>162445.26</v>
      </c>
    </row>
    <row r="227" spans="1:3" hidden="1" outlineLevel="1">
      <c r="A227" s="12"/>
      <c r="B227" s="9" t="s">
        <v>1703</v>
      </c>
      <c r="C227" s="10">
        <v>155058.41</v>
      </c>
    </row>
    <row r="228" spans="1:3" hidden="1" outlineLevel="1">
      <c r="A228" s="12"/>
      <c r="B228" s="9" t="s">
        <v>1704</v>
      </c>
      <c r="C228" s="10">
        <v>146642.42000000001</v>
      </c>
    </row>
    <row r="229" spans="1:3" ht="27.95" hidden="1" outlineLevel="1">
      <c r="A229" s="12"/>
      <c r="B229" s="9" t="s">
        <v>1246</v>
      </c>
      <c r="C229" s="10">
        <v>129061.36</v>
      </c>
    </row>
    <row r="230" spans="1:3" hidden="1" outlineLevel="1">
      <c r="A230" s="12"/>
      <c r="B230" s="9" t="s">
        <v>1705</v>
      </c>
      <c r="C230" s="10">
        <v>124948.42</v>
      </c>
    </row>
    <row r="231" spans="1:3" ht="27.95" hidden="1" outlineLevel="1">
      <c r="A231" s="12"/>
      <c r="B231" s="9" t="s">
        <v>1706</v>
      </c>
      <c r="C231" s="10">
        <v>119877.46</v>
      </c>
    </row>
    <row r="232" spans="1:3" hidden="1" outlineLevel="1">
      <c r="A232" s="12"/>
      <c r="B232" s="9" t="s">
        <v>1707</v>
      </c>
      <c r="C232" s="10">
        <v>118342.88</v>
      </c>
    </row>
    <row r="233" spans="1:3" ht="27.95" hidden="1" outlineLevel="1">
      <c r="A233" s="12"/>
      <c r="B233" s="9" t="s">
        <v>1708</v>
      </c>
      <c r="C233" s="10">
        <v>116581.4</v>
      </c>
    </row>
    <row r="234" spans="1:3" hidden="1" outlineLevel="1">
      <c r="A234" s="12"/>
      <c r="B234" s="9" t="s">
        <v>1709</v>
      </c>
      <c r="C234" s="10">
        <v>114976.05</v>
      </c>
    </row>
    <row r="235" spans="1:3" ht="27.95" hidden="1" outlineLevel="1">
      <c r="A235" s="12"/>
      <c r="B235" s="9" t="s">
        <v>1242</v>
      </c>
      <c r="C235" s="10">
        <v>112419.07</v>
      </c>
    </row>
    <row r="236" spans="1:3" ht="27.95" hidden="1" outlineLevel="1">
      <c r="A236" s="12"/>
      <c r="B236" s="9" t="s">
        <v>1710</v>
      </c>
      <c r="C236" s="10">
        <v>109597.37999999999</v>
      </c>
    </row>
    <row r="237" spans="1:3" hidden="1" outlineLevel="1">
      <c r="A237" s="12"/>
      <c r="B237" s="9" t="s">
        <v>1647</v>
      </c>
      <c r="C237" s="10">
        <v>105452.48</v>
      </c>
    </row>
    <row r="238" spans="1:3" hidden="1" outlineLevel="1">
      <c r="A238" s="12"/>
      <c r="B238" s="9" t="s">
        <v>985</v>
      </c>
      <c r="C238" s="10">
        <v>93904.41</v>
      </c>
    </row>
    <row r="239" spans="1:3" hidden="1" outlineLevel="1">
      <c r="A239" s="12"/>
      <c r="B239" s="9" t="s">
        <v>1416</v>
      </c>
      <c r="C239" s="10">
        <v>90283.520000000004</v>
      </c>
    </row>
    <row r="240" spans="1:3" ht="27.95" hidden="1" outlineLevel="1">
      <c r="A240" s="12"/>
      <c r="B240" s="9" t="s">
        <v>1711</v>
      </c>
      <c r="C240" s="10">
        <v>83996.49</v>
      </c>
    </row>
    <row r="241" spans="1:3" ht="27.95" hidden="1" outlineLevel="1">
      <c r="A241" s="12"/>
      <c r="B241" s="9" t="s">
        <v>1712</v>
      </c>
      <c r="C241" s="10">
        <v>79687.929999999993</v>
      </c>
    </row>
    <row r="242" spans="1:3" ht="27.95" hidden="1" outlineLevel="1">
      <c r="A242" s="12"/>
      <c r="B242" s="9" t="s">
        <v>1713</v>
      </c>
      <c r="C242" s="10">
        <v>79324.05</v>
      </c>
    </row>
    <row r="243" spans="1:3" ht="27.95" hidden="1" outlineLevel="1">
      <c r="A243" s="12"/>
      <c r="B243" s="9" t="s">
        <v>1277</v>
      </c>
      <c r="C243" s="10">
        <v>77063.56</v>
      </c>
    </row>
    <row r="244" spans="1:3" ht="27.95" hidden="1" outlineLevel="1">
      <c r="A244" s="12"/>
      <c r="B244" s="9" t="s">
        <v>1626</v>
      </c>
      <c r="C244" s="10">
        <v>75280.66</v>
      </c>
    </row>
    <row r="245" spans="1:3" ht="27.95" hidden="1" outlineLevel="1">
      <c r="A245" s="12"/>
      <c r="B245" s="9" t="s">
        <v>1714</v>
      </c>
      <c r="C245" s="10">
        <v>72000</v>
      </c>
    </row>
    <row r="246" spans="1:3" ht="27.95" hidden="1" outlineLevel="1">
      <c r="A246" s="12"/>
      <c r="B246" s="9" t="s">
        <v>1715</v>
      </c>
      <c r="C246" s="10">
        <v>59040.38</v>
      </c>
    </row>
    <row r="247" spans="1:3" ht="27.95" hidden="1" outlineLevel="1">
      <c r="A247" s="12"/>
      <c r="B247" s="9" t="s">
        <v>1716</v>
      </c>
      <c r="C247" s="10">
        <v>54269.81</v>
      </c>
    </row>
    <row r="248" spans="1:3" hidden="1" outlineLevel="1">
      <c r="A248" s="12"/>
      <c r="B248" s="9" t="s">
        <v>1717</v>
      </c>
      <c r="C248" s="10">
        <v>53230.1</v>
      </c>
    </row>
    <row r="249" spans="1:3" hidden="1" outlineLevel="1">
      <c r="A249" s="12"/>
      <c r="B249" s="9" t="s">
        <v>1254</v>
      </c>
      <c r="C249" s="10">
        <v>53121.279999999999</v>
      </c>
    </row>
    <row r="250" spans="1:3" hidden="1" outlineLevel="1">
      <c r="A250" s="12"/>
      <c r="B250" s="9" t="s">
        <v>1718</v>
      </c>
      <c r="C250" s="10">
        <v>52570.04</v>
      </c>
    </row>
    <row r="251" spans="1:3" hidden="1" outlineLevel="1">
      <c r="A251" s="12"/>
      <c r="B251" s="9" t="s">
        <v>876</v>
      </c>
      <c r="C251" s="10">
        <v>52398.33</v>
      </c>
    </row>
    <row r="252" spans="1:3" hidden="1" outlineLevel="1">
      <c r="A252" s="12"/>
      <c r="B252" s="9" t="s">
        <v>1719</v>
      </c>
      <c r="C252" s="10">
        <v>50347.02</v>
      </c>
    </row>
    <row r="253" spans="1:3" ht="27.95" hidden="1" outlineLevel="1">
      <c r="A253" s="12"/>
      <c r="B253" s="9" t="s">
        <v>1720</v>
      </c>
      <c r="C253" s="10">
        <v>47727.270000000004</v>
      </c>
    </row>
    <row r="254" spans="1:3" hidden="1" outlineLevel="1">
      <c r="A254" s="12"/>
      <c r="B254" s="9" t="s">
        <v>1721</v>
      </c>
      <c r="C254" s="10">
        <v>46219.34</v>
      </c>
    </row>
    <row r="255" spans="1:3" ht="27.95" hidden="1" outlineLevel="1">
      <c r="A255" s="12"/>
      <c r="B255" s="9" t="s">
        <v>1722</v>
      </c>
      <c r="C255" s="10">
        <v>40814.94</v>
      </c>
    </row>
    <row r="256" spans="1:3" ht="42" hidden="1" outlineLevel="1">
      <c r="A256" s="12"/>
      <c r="B256" s="9" t="s">
        <v>1723</v>
      </c>
      <c r="C256" s="10">
        <v>36828</v>
      </c>
    </row>
    <row r="257" spans="1:3" hidden="1" outlineLevel="1">
      <c r="A257" s="12"/>
      <c r="B257" s="9" t="s">
        <v>1724</v>
      </c>
      <c r="C257" s="10">
        <v>35487.22</v>
      </c>
    </row>
    <row r="258" spans="1:3" ht="27.95" hidden="1" outlineLevel="1">
      <c r="A258" s="12"/>
      <c r="B258" s="9" t="s">
        <v>1260</v>
      </c>
      <c r="C258" s="10">
        <v>34412.54</v>
      </c>
    </row>
    <row r="259" spans="1:3" hidden="1" outlineLevel="1">
      <c r="A259" s="12"/>
      <c r="B259" s="9" t="s">
        <v>1667</v>
      </c>
      <c r="C259" s="10">
        <v>28724.63</v>
      </c>
    </row>
    <row r="260" spans="1:3" ht="27.95" hidden="1" outlineLevel="1">
      <c r="A260" s="12"/>
      <c r="B260" s="9" t="s">
        <v>1725</v>
      </c>
      <c r="C260" s="10">
        <v>26357.439999999999</v>
      </c>
    </row>
    <row r="261" spans="1:3" ht="27.95" hidden="1" outlineLevel="1">
      <c r="A261" s="12"/>
      <c r="B261" s="9" t="s">
        <v>1726</v>
      </c>
      <c r="C261" s="10">
        <v>22000</v>
      </c>
    </row>
    <row r="262" spans="1:3" ht="27.95" hidden="1" outlineLevel="1">
      <c r="A262" s="12"/>
      <c r="B262" s="9" t="s">
        <v>1727</v>
      </c>
      <c r="C262" s="10">
        <v>19816.45</v>
      </c>
    </row>
    <row r="263" spans="1:3" hidden="1" outlineLevel="1">
      <c r="A263" s="12"/>
      <c r="B263" s="9" t="s">
        <v>1728</v>
      </c>
      <c r="C263" s="10">
        <v>19500</v>
      </c>
    </row>
    <row r="264" spans="1:3" ht="27.95" hidden="1" outlineLevel="1">
      <c r="A264" s="12"/>
      <c r="B264" s="9" t="s">
        <v>909</v>
      </c>
      <c r="C264" s="10">
        <v>19132.419999999998</v>
      </c>
    </row>
    <row r="265" spans="1:3" hidden="1" outlineLevel="1">
      <c r="A265" s="12"/>
      <c r="B265" s="9" t="s">
        <v>1025</v>
      </c>
      <c r="C265" s="10">
        <v>17365.7</v>
      </c>
    </row>
    <row r="266" spans="1:3" hidden="1" outlineLevel="1">
      <c r="A266" s="12"/>
      <c r="B266" s="9" t="s">
        <v>1729</v>
      </c>
      <c r="C266" s="10">
        <v>16880.37</v>
      </c>
    </row>
    <row r="267" spans="1:3" ht="27.95" hidden="1" outlineLevel="1">
      <c r="A267" s="12"/>
      <c r="B267" s="9" t="s">
        <v>1730</v>
      </c>
      <c r="C267" s="10">
        <v>15500</v>
      </c>
    </row>
    <row r="268" spans="1:3" hidden="1" outlineLevel="1">
      <c r="A268" s="12"/>
      <c r="B268" s="9" t="s">
        <v>1640</v>
      </c>
      <c r="C268" s="10">
        <v>15088.75</v>
      </c>
    </row>
    <row r="269" spans="1:3" hidden="1" outlineLevel="1">
      <c r="A269" s="12"/>
      <c r="B269" s="9" t="s">
        <v>899</v>
      </c>
      <c r="C269" s="10">
        <v>14000</v>
      </c>
    </row>
    <row r="270" spans="1:3" ht="27.95" hidden="1" outlineLevel="1">
      <c r="A270" s="12"/>
      <c r="B270" s="9" t="s">
        <v>1308</v>
      </c>
      <c r="C270" s="10">
        <v>13412.97</v>
      </c>
    </row>
    <row r="271" spans="1:3" ht="27.95" hidden="1" outlineLevel="1">
      <c r="A271" s="12"/>
      <c r="B271" s="9" t="s">
        <v>892</v>
      </c>
      <c r="C271" s="10">
        <v>12460.3</v>
      </c>
    </row>
    <row r="272" spans="1:3" ht="27.95" hidden="1" outlineLevel="1">
      <c r="A272" s="12"/>
      <c r="B272" s="9" t="s">
        <v>1731</v>
      </c>
      <c r="C272" s="10">
        <v>12439.05</v>
      </c>
    </row>
    <row r="273" spans="1:3" hidden="1" outlineLevel="1">
      <c r="A273" s="12"/>
      <c r="B273" s="9" t="s">
        <v>1732</v>
      </c>
      <c r="C273" s="10">
        <v>10534.46</v>
      </c>
    </row>
    <row r="274" spans="1:3" hidden="1" outlineLevel="1">
      <c r="A274" s="12"/>
      <c r="B274" s="9" t="s">
        <v>1314</v>
      </c>
      <c r="C274" s="10">
        <v>10297.989999999998</v>
      </c>
    </row>
    <row r="275" spans="1:3" ht="27.95" hidden="1" outlineLevel="1">
      <c r="A275" s="12"/>
      <c r="B275" s="9" t="s">
        <v>1733</v>
      </c>
      <c r="C275" s="10">
        <v>10157.73</v>
      </c>
    </row>
    <row r="276" spans="1:3" hidden="1" outlineLevel="1">
      <c r="A276" s="12"/>
      <c r="B276" s="9" t="s">
        <v>881</v>
      </c>
      <c r="C276" s="10">
        <v>10074.4</v>
      </c>
    </row>
    <row r="277" spans="1:3" ht="27.95" hidden="1" outlineLevel="1">
      <c r="A277" s="12"/>
      <c r="B277" s="9" t="s">
        <v>1734</v>
      </c>
      <c r="C277" s="10">
        <v>8651.5</v>
      </c>
    </row>
    <row r="278" spans="1:3" hidden="1" outlineLevel="1">
      <c r="A278" s="12"/>
      <c r="B278" s="9" t="s">
        <v>1442</v>
      </c>
      <c r="C278" s="10">
        <v>8386.1</v>
      </c>
    </row>
    <row r="279" spans="1:3" hidden="1" outlineLevel="1">
      <c r="A279" s="12"/>
      <c r="B279" s="9" t="s">
        <v>1470</v>
      </c>
      <c r="C279" s="10">
        <v>7745.11</v>
      </c>
    </row>
    <row r="280" spans="1:3" ht="27.95" hidden="1" outlineLevel="1">
      <c r="A280" s="12"/>
      <c r="B280" s="9" t="s">
        <v>1735</v>
      </c>
      <c r="C280" s="10">
        <v>5993.43</v>
      </c>
    </row>
    <row r="281" spans="1:3" hidden="1" outlineLevel="1">
      <c r="A281" s="12"/>
      <c r="B281" s="9" t="s">
        <v>910</v>
      </c>
      <c r="C281" s="10">
        <v>5218.8700000000008</v>
      </c>
    </row>
    <row r="282" spans="1:3" hidden="1" outlineLevel="1">
      <c r="A282" s="12"/>
      <c r="B282" s="9" t="s">
        <v>1736</v>
      </c>
      <c r="C282" s="10">
        <v>4980.08</v>
      </c>
    </row>
    <row r="283" spans="1:3" hidden="1" outlineLevel="1">
      <c r="A283" s="12"/>
      <c r="B283" s="9" t="s">
        <v>938</v>
      </c>
      <c r="C283" s="10">
        <v>4420</v>
      </c>
    </row>
    <row r="284" spans="1:3" hidden="1" outlineLevel="1">
      <c r="A284" s="12"/>
      <c r="B284" s="9" t="s">
        <v>925</v>
      </c>
      <c r="C284" s="10">
        <v>4407.6400000000003</v>
      </c>
    </row>
    <row r="285" spans="1:3" hidden="1" outlineLevel="1">
      <c r="A285" s="12"/>
      <c r="B285" s="9" t="s">
        <v>1607</v>
      </c>
      <c r="C285" s="10">
        <v>4163.99</v>
      </c>
    </row>
    <row r="286" spans="1:3" hidden="1" outlineLevel="1">
      <c r="A286" s="12"/>
      <c r="B286" s="9" t="s">
        <v>1013</v>
      </c>
      <c r="C286" s="10">
        <v>4077.54</v>
      </c>
    </row>
    <row r="287" spans="1:3" hidden="1" outlineLevel="1">
      <c r="A287" s="12"/>
      <c r="B287" s="9" t="s">
        <v>917</v>
      </c>
      <c r="C287" s="10">
        <v>3713.22</v>
      </c>
    </row>
    <row r="288" spans="1:3" hidden="1" outlineLevel="1">
      <c r="A288" s="12"/>
      <c r="B288" s="9" t="s">
        <v>902</v>
      </c>
      <c r="C288" s="10">
        <v>3413.03</v>
      </c>
    </row>
    <row r="289" spans="1:3" hidden="1" outlineLevel="1">
      <c r="A289" s="12"/>
      <c r="B289" s="9" t="s">
        <v>1737</v>
      </c>
      <c r="C289" s="10">
        <v>3399.72</v>
      </c>
    </row>
    <row r="290" spans="1:3" hidden="1" outlineLevel="1">
      <c r="A290" s="12"/>
      <c r="B290" s="9" t="s">
        <v>1499</v>
      </c>
      <c r="C290" s="10">
        <v>2906.28</v>
      </c>
    </row>
    <row r="291" spans="1:3" hidden="1" outlineLevel="1">
      <c r="A291" s="12"/>
      <c r="B291" s="9" t="s">
        <v>1738</v>
      </c>
      <c r="C291" s="10">
        <v>2895.87</v>
      </c>
    </row>
    <row r="292" spans="1:3" hidden="1" outlineLevel="1">
      <c r="A292" s="12"/>
      <c r="B292" s="9" t="s">
        <v>1739</v>
      </c>
      <c r="C292" s="10">
        <v>2636.52</v>
      </c>
    </row>
    <row r="293" spans="1:3" ht="27.95" hidden="1" outlineLevel="1">
      <c r="A293" s="12"/>
      <c r="B293" s="9" t="s">
        <v>1740</v>
      </c>
      <c r="C293" s="10">
        <v>2425.17</v>
      </c>
    </row>
    <row r="294" spans="1:3" hidden="1" outlineLevel="1">
      <c r="A294" s="12"/>
      <c r="B294" s="9" t="s">
        <v>1464</v>
      </c>
      <c r="C294" s="10">
        <v>1906.61</v>
      </c>
    </row>
    <row r="295" spans="1:3" hidden="1" outlineLevel="1">
      <c r="A295" s="12"/>
      <c r="B295" s="9" t="s">
        <v>1741</v>
      </c>
      <c r="C295" s="10">
        <v>1633.33</v>
      </c>
    </row>
    <row r="296" spans="1:3" hidden="1" outlineLevel="1">
      <c r="A296" s="12"/>
      <c r="B296" s="9" t="s">
        <v>930</v>
      </c>
      <c r="C296" s="10">
        <v>1456.38</v>
      </c>
    </row>
    <row r="297" spans="1:3" hidden="1" outlineLevel="1">
      <c r="A297" s="12"/>
      <c r="B297" s="9" t="s">
        <v>1497</v>
      </c>
      <c r="C297" s="10">
        <v>1396.1</v>
      </c>
    </row>
    <row r="298" spans="1:3" hidden="1" outlineLevel="1">
      <c r="A298" s="12"/>
      <c r="B298" s="9" t="s">
        <v>906</v>
      </c>
      <c r="C298" s="10">
        <v>1300</v>
      </c>
    </row>
    <row r="299" spans="1:3" hidden="1" outlineLevel="1">
      <c r="A299" s="12"/>
      <c r="B299" s="9" t="s">
        <v>1224</v>
      </c>
      <c r="C299" s="10">
        <v>1225.3499999999999</v>
      </c>
    </row>
    <row r="300" spans="1:3" hidden="1" outlineLevel="1">
      <c r="A300" s="12"/>
      <c r="B300" s="9" t="s">
        <v>1742</v>
      </c>
      <c r="C300" s="10">
        <v>1170</v>
      </c>
    </row>
    <row r="301" spans="1:3" hidden="1" outlineLevel="1">
      <c r="A301" s="12"/>
      <c r="B301" s="9" t="s">
        <v>929</v>
      </c>
      <c r="C301" s="10">
        <v>1047.32</v>
      </c>
    </row>
    <row r="302" spans="1:3" hidden="1" outlineLevel="1">
      <c r="A302" s="12"/>
      <c r="B302" s="9" t="s">
        <v>1656</v>
      </c>
      <c r="C302" s="10">
        <v>940.23</v>
      </c>
    </row>
    <row r="303" spans="1:3" hidden="1" outlineLevel="1">
      <c r="A303" s="12"/>
      <c r="B303" s="9" t="s">
        <v>1022</v>
      </c>
      <c r="C303" s="10">
        <v>844.19</v>
      </c>
    </row>
    <row r="304" spans="1:3" hidden="1" outlineLevel="1">
      <c r="A304" s="12"/>
      <c r="B304" s="9" t="s">
        <v>1743</v>
      </c>
      <c r="C304" s="10">
        <v>747.28</v>
      </c>
    </row>
    <row r="305" spans="1:3" hidden="1" outlineLevel="1">
      <c r="A305" s="12"/>
      <c r="B305" s="9" t="s">
        <v>921</v>
      </c>
      <c r="C305" s="10">
        <v>741.53</v>
      </c>
    </row>
    <row r="306" spans="1:3" hidden="1" outlineLevel="1">
      <c r="A306" s="12"/>
      <c r="B306" s="9" t="s">
        <v>932</v>
      </c>
      <c r="C306" s="10">
        <v>651.62</v>
      </c>
    </row>
    <row r="307" spans="1:3" hidden="1" outlineLevel="1">
      <c r="A307" s="12"/>
      <c r="B307" s="9" t="s">
        <v>1648</v>
      </c>
      <c r="C307" s="10">
        <v>600</v>
      </c>
    </row>
    <row r="308" spans="1:3" hidden="1" outlineLevel="1">
      <c r="A308" s="12"/>
      <c r="B308" s="9" t="s">
        <v>1744</v>
      </c>
      <c r="C308" s="10">
        <v>595.03</v>
      </c>
    </row>
    <row r="309" spans="1:3" hidden="1" outlineLevel="1">
      <c r="A309" s="12"/>
      <c r="B309" s="9" t="s">
        <v>1332</v>
      </c>
      <c r="C309" s="10">
        <v>554.14</v>
      </c>
    </row>
    <row r="310" spans="1:3" hidden="1" outlineLevel="1">
      <c r="A310" s="12"/>
      <c r="B310" s="9" t="s">
        <v>1565</v>
      </c>
      <c r="C310" s="10">
        <v>513.48</v>
      </c>
    </row>
    <row r="311" spans="1:3" hidden="1" outlineLevel="1">
      <c r="A311" s="12"/>
      <c r="B311" s="9" t="s">
        <v>1562</v>
      </c>
      <c r="C311" s="10">
        <v>509.71</v>
      </c>
    </row>
    <row r="312" spans="1:3" hidden="1" outlineLevel="1">
      <c r="A312" s="12"/>
      <c r="B312" s="9" t="s">
        <v>1659</v>
      </c>
      <c r="C312" s="10">
        <v>500</v>
      </c>
    </row>
    <row r="313" spans="1:3" ht="27.95" hidden="1" outlineLevel="1">
      <c r="A313" s="12"/>
      <c r="B313" s="9" t="s">
        <v>1042</v>
      </c>
      <c r="C313" s="10">
        <v>443.87</v>
      </c>
    </row>
    <row r="314" spans="1:3" ht="27.95" hidden="1" outlineLevel="1">
      <c r="A314" s="12"/>
      <c r="B314" s="9" t="s">
        <v>1745</v>
      </c>
      <c r="C314" s="10">
        <v>441.81</v>
      </c>
    </row>
    <row r="315" spans="1:3" hidden="1" outlineLevel="1">
      <c r="A315" s="12"/>
      <c r="B315" s="9" t="s">
        <v>1680</v>
      </c>
      <c r="C315" s="10">
        <v>397.69</v>
      </c>
    </row>
    <row r="316" spans="1:3" hidden="1" outlineLevel="1">
      <c r="A316" s="12"/>
      <c r="B316" s="9" t="s">
        <v>1655</v>
      </c>
      <c r="C316" s="10">
        <v>264.60000000000002</v>
      </c>
    </row>
    <row r="317" spans="1:3" hidden="1" outlineLevel="1">
      <c r="A317" s="12"/>
      <c r="B317" s="9" t="s">
        <v>920</v>
      </c>
      <c r="C317" s="10">
        <v>180</v>
      </c>
    </row>
    <row r="318" spans="1:3" ht="27.95" hidden="1" outlineLevel="1">
      <c r="A318" s="12"/>
      <c r="B318" s="9" t="s">
        <v>1746</v>
      </c>
      <c r="C318" s="10">
        <v>173.34</v>
      </c>
    </row>
    <row r="319" spans="1:3" ht="27.95" hidden="1" outlineLevel="1">
      <c r="A319" s="12"/>
      <c r="B319" s="9" t="s">
        <v>1167</v>
      </c>
      <c r="C319" s="10">
        <v>153.99</v>
      </c>
    </row>
    <row r="320" spans="1:3" ht="27.95" hidden="1" outlineLevel="1">
      <c r="A320" s="12"/>
      <c r="B320" s="9" t="s">
        <v>1333</v>
      </c>
      <c r="C320" s="10">
        <v>0</v>
      </c>
    </row>
    <row r="321" spans="1:3" collapsed="1">
      <c r="A321" s="12"/>
      <c r="B321" s="13"/>
      <c r="C321" s="14">
        <f>SUM(C196:C215)</f>
        <v>30142681.769999996</v>
      </c>
    </row>
    <row r="322" spans="1:3">
      <c r="A322" s="12"/>
      <c r="B322" s="9"/>
      <c r="C322" s="10"/>
    </row>
    <row r="323" spans="1:3">
      <c r="A323" s="12"/>
      <c r="B323" s="9"/>
      <c r="C323" s="10"/>
    </row>
    <row r="324" spans="1:3">
      <c r="A324" s="12"/>
      <c r="B324" s="9"/>
      <c r="C324" s="10"/>
    </row>
    <row r="325" spans="1:3" ht="69.95">
      <c r="A325" s="49" t="s">
        <v>12</v>
      </c>
      <c r="B325" s="9" t="s">
        <v>1747</v>
      </c>
      <c r="C325" s="10">
        <v>4028997.17</v>
      </c>
    </row>
    <row r="326" spans="1:3" ht="69.95">
      <c r="A326" s="49"/>
      <c r="B326" s="9" t="s">
        <v>1748</v>
      </c>
      <c r="C326" s="10">
        <v>3999100.76</v>
      </c>
    </row>
    <row r="327" spans="1:3" ht="42">
      <c r="A327" s="49"/>
      <c r="B327" s="9" t="s">
        <v>1749</v>
      </c>
      <c r="C327" s="10">
        <v>2177279.83</v>
      </c>
    </row>
    <row r="328" spans="1:3" ht="42">
      <c r="A328" s="49"/>
      <c r="B328" s="9" t="s">
        <v>1750</v>
      </c>
      <c r="C328" s="10">
        <v>1585537.65</v>
      </c>
    </row>
    <row r="329" spans="1:3" ht="27.95">
      <c r="A329" s="49"/>
      <c r="B329" s="9" t="s">
        <v>1751</v>
      </c>
      <c r="C329" s="10">
        <v>1258204.33</v>
      </c>
    </row>
    <row r="330" spans="1:3" ht="27.95">
      <c r="A330" s="49"/>
      <c r="B330" s="9" t="s">
        <v>1342</v>
      </c>
      <c r="C330" s="10">
        <v>406755.05</v>
      </c>
    </row>
    <row r="331" spans="1:3" ht="27.95">
      <c r="A331" s="49"/>
      <c r="B331" s="9" t="s">
        <v>1752</v>
      </c>
      <c r="C331" s="10">
        <v>351581.78</v>
      </c>
    </row>
    <row r="332" spans="1:3">
      <c r="A332" s="49"/>
      <c r="B332" s="9" t="s">
        <v>1353</v>
      </c>
      <c r="C332" s="10">
        <v>169498.28</v>
      </c>
    </row>
    <row r="333" spans="1:3" ht="27.95">
      <c r="A333" s="49"/>
      <c r="B333" s="9" t="s">
        <v>1753</v>
      </c>
      <c r="C333" s="10">
        <v>106716.37</v>
      </c>
    </row>
    <row r="334" spans="1:3">
      <c r="A334" s="49"/>
      <c r="B334" s="9" t="s">
        <v>1065</v>
      </c>
      <c r="C334" s="10">
        <v>104451.18</v>
      </c>
    </row>
    <row r="335" spans="1:3" ht="27.95">
      <c r="A335" s="49"/>
      <c r="B335" s="9" t="s">
        <v>1356</v>
      </c>
      <c r="C335" s="10">
        <v>101480.12</v>
      </c>
    </row>
    <row r="336" spans="1:3">
      <c r="A336" s="49"/>
      <c r="B336" s="9" t="s">
        <v>1062</v>
      </c>
      <c r="C336" s="10">
        <v>90454.77</v>
      </c>
    </row>
    <row r="337" spans="1:3" ht="27.95">
      <c r="A337" s="49"/>
      <c r="B337" s="9" t="s">
        <v>1370</v>
      </c>
      <c r="C337" s="10">
        <v>82791.42</v>
      </c>
    </row>
    <row r="338" spans="1:3" ht="27.95">
      <c r="A338" s="49"/>
      <c r="B338" s="9" t="s">
        <v>1754</v>
      </c>
      <c r="C338" s="10">
        <v>82496.37</v>
      </c>
    </row>
    <row r="339" spans="1:3">
      <c r="A339" s="49"/>
      <c r="B339" s="9" t="s">
        <v>1755</v>
      </c>
      <c r="C339" s="10">
        <v>67629.05</v>
      </c>
    </row>
    <row r="340" spans="1:3">
      <c r="A340" s="49"/>
      <c r="B340" s="9" t="s">
        <v>1025</v>
      </c>
      <c r="C340" s="10">
        <v>62020.36</v>
      </c>
    </row>
    <row r="341" spans="1:3">
      <c r="A341" s="49"/>
      <c r="B341" s="9" t="s">
        <v>1647</v>
      </c>
      <c r="C341" s="10">
        <v>55501.31</v>
      </c>
    </row>
    <row r="342" spans="1:3">
      <c r="A342" s="49"/>
      <c r="B342" s="9" t="s">
        <v>881</v>
      </c>
      <c r="C342" s="10">
        <v>50371.97</v>
      </c>
    </row>
    <row r="343" spans="1:3">
      <c r="A343" s="49"/>
      <c r="B343" s="9" t="s">
        <v>1756</v>
      </c>
      <c r="C343" s="10">
        <v>49299.66</v>
      </c>
    </row>
    <row r="344" spans="1:3" ht="42">
      <c r="A344" s="49"/>
      <c r="B344" s="9" t="s">
        <v>1757</v>
      </c>
      <c r="C344" s="10">
        <v>41192.71</v>
      </c>
    </row>
    <row r="345" spans="1:3" ht="27.95" hidden="1" outlineLevel="1">
      <c r="A345" s="12"/>
      <c r="B345" s="9" t="s">
        <v>1758</v>
      </c>
      <c r="C345" s="10">
        <v>40453.760000000002</v>
      </c>
    </row>
    <row r="346" spans="1:3" ht="27.95" hidden="1" outlineLevel="1">
      <c r="A346" s="12"/>
      <c r="B346" s="9" t="s">
        <v>1759</v>
      </c>
      <c r="C346" s="10">
        <v>37163.94</v>
      </c>
    </row>
    <row r="347" spans="1:3" hidden="1" outlineLevel="1">
      <c r="A347" s="12"/>
      <c r="B347" s="9" t="s">
        <v>1760</v>
      </c>
      <c r="C347" s="10">
        <v>36690.339999999997</v>
      </c>
    </row>
    <row r="348" spans="1:3" ht="27.95" hidden="1" outlineLevel="1">
      <c r="A348" s="12"/>
      <c r="B348" s="9" t="s">
        <v>1134</v>
      </c>
      <c r="C348" s="10">
        <v>30518.33</v>
      </c>
    </row>
    <row r="349" spans="1:3" ht="27.95" hidden="1" outlineLevel="1">
      <c r="A349" s="12"/>
      <c r="B349" s="9" t="s">
        <v>1761</v>
      </c>
      <c r="C349" s="10">
        <v>27229.16</v>
      </c>
    </row>
    <row r="350" spans="1:3" ht="27.95" hidden="1" outlineLevel="1">
      <c r="A350" s="12"/>
      <c r="B350" s="9" t="s">
        <v>1762</v>
      </c>
      <c r="C350" s="10">
        <v>25970.54</v>
      </c>
    </row>
    <row r="351" spans="1:3" hidden="1" outlineLevel="1">
      <c r="A351" s="12"/>
      <c r="B351" s="9" t="s">
        <v>1371</v>
      </c>
      <c r="C351" s="10">
        <v>19961.09</v>
      </c>
    </row>
    <row r="352" spans="1:3" hidden="1" outlineLevel="1">
      <c r="A352" s="12"/>
      <c r="B352" s="9" t="s">
        <v>910</v>
      </c>
      <c r="C352" s="10">
        <v>17549.870000000003</v>
      </c>
    </row>
    <row r="353" spans="1:3" ht="27.95" hidden="1" outlineLevel="1">
      <c r="A353" s="12"/>
      <c r="B353" s="9" t="s">
        <v>1763</v>
      </c>
      <c r="C353" s="10">
        <v>12812.55</v>
      </c>
    </row>
    <row r="354" spans="1:3" hidden="1" outlineLevel="1">
      <c r="A354" s="12"/>
      <c r="B354" s="9" t="s">
        <v>1764</v>
      </c>
      <c r="C354" s="10">
        <v>12061.62</v>
      </c>
    </row>
    <row r="355" spans="1:3" hidden="1" outlineLevel="1">
      <c r="A355" s="12"/>
      <c r="B355" s="9" t="s">
        <v>1765</v>
      </c>
      <c r="C355" s="10">
        <v>7734.65</v>
      </c>
    </row>
    <row r="356" spans="1:3" ht="27.95" hidden="1" outlineLevel="1">
      <c r="A356" s="12"/>
      <c r="B356" s="9" t="s">
        <v>1300</v>
      </c>
      <c r="C356" s="10">
        <v>7179.43</v>
      </c>
    </row>
    <row r="357" spans="1:3" hidden="1" outlineLevel="1">
      <c r="A357" s="12"/>
      <c r="B357" s="9" t="s">
        <v>1766</v>
      </c>
      <c r="C357" s="10">
        <v>5931.6</v>
      </c>
    </row>
    <row r="358" spans="1:3" hidden="1" outlineLevel="1">
      <c r="A358" s="12"/>
      <c r="B358" s="9" t="s">
        <v>930</v>
      </c>
      <c r="C358" s="10">
        <v>5825.49</v>
      </c>
    </row>
    <row r="359" spans="1:3" hidden="1" outlineLevel="1">
      <c r="A359" s="12"/>
      <c r="B359" s="9" t="s">
        <v>1275</v>
      </c>
      <c r="C359" s="10">
        <v>5726.96</v>
      </c>
    </row>
    <row r="360" spans="1:3" hidden="1" outlineLevel="1">
      <c r="A360" s="12"/>
      <c r="B360" s="9" t="s">
        <v>890</v>
      </c>
      <c r="C360" s="10">
        <v>5070.9799999999996</v>
      </c>
    </row>
    <row r="361" spans="1:3" ht="27.95" hidden="1" outlineLevel="1">
      <c r="A361" s="12"/>
      <c r="B361" s="9" t="s">
        <v>1767</v>
      </c>
      <c r="C361" s="10">
        <v>4656.33</v>
      </c>
    </row>
    <row r="362" spans="1:3" hidden="1" outlineLevel="1">
      <c r="A362" s="12"/>
      <c r="B362" s="9" t="s">
        <v>1224</v>
      </c>
      <c r="C362" s="10">
        <v>4492.9800000000005</v>
      </c>
    </row>
    <row r="363" spans="1:3" hidden="1" outlineLevel="1">
      <c r="A363" s="12"/>
      <c r="B363" s="9" t="s">
        <v>1768</v>
      </c>
      <c r="C363" s="10">
        <v>4216.87</v>
      </c>
    </row>
    <row r="364" spans="1:3" hidden="1" outlineLevel="1">
      <c r="A364" s="12"/>
      <c r="B364" s="9" t="s">
        <v>1769</v>
      </c>
      <c r="C364" s="10">
        <v>3844.87</v>
      </c>
    </row>
    <row r="365" spans="1:3" hidden="1" outlineLevel="1">
      <c r="A365" s="12"/>
      <c r="B365" s="9" t="s">
        <v>917</v>
      </c>
      <c r="C365" s="10">
        <v>3713.22</v>
      </c>
    </row>
    <row r="366" spans="1:3" ht="27.95" hidden="1" outlineLevel="1">
      <c r="A366" s="12"/>
      <c r="B366" s="9" t="s">
        <v>1298</v>
      </c>
      <c r="C366" s="10">
        <v>2669.7</v>
      </c>
    </row>
    <row r="367" spans="1:3" hidden="1" outlineLevel="1">
      <c r="A367" s="12"/>
      <c r="B367" s="9" t="s">
        <v>1770</v>
      </c>
      <c r="C367" s="10">
        <v>2416.75</v>
      </c>
    </row>
    <row r="368" spans="1:3" ht="27.95" hidden="1" outlineLevel="1">
      <c r="A368" s="12"/>
      <c r="B368" s="9" t="s">
        <v>1771</v>
      </c>
      <c r="C368" s="10">
        <v>2338.69</v>
      </c>
    </row>
    <row r="369" spans="1:3" ht="27.95" hidden="1" outlineLevel="1">
      <c r="A369" s="12"/>
      <c r="B369" s="9" t="s">
        <v>1772</v>
      </c>
      <c r="C369" s="10">
        <v>2184.67</v>
      </c>
    </row>
    <row r="370" spans="1:3" ht="27.95" hidden="1" outlineLevel="1">
      <c r="A370" s="12"/>
      <c r="B370" s="9" t="s">
        <v>1773</v>
      </c>
      <c r="C370" s="10">
        <v>2000</v>
      </c>
    </row>
    <row r="371" spans="1:3" ht="27.95" hidden="1" outlineLevel="1">
      <c r="A371" s="12"/>
      <c r="B371" s="9" t="s">
        <v>1774</v>
      </c>
      <c r="C371" s="10">
        <v>1911.25</v>
      </c>
    </row>
    <row r="372" spans="1:3" hidden="1" outlineLevel="1">
      <c r="A372" s="12"/>
      <c r="B372" s="9" t="s">
        <v>1775</v>
      </c>
      <c r="C372" s="10">
        <v>1576.65</v>
      </c>
    </row>
    <row r="373" spans="1:3" hidden="1" outlineLevel="1">
      <c r="A373" s="12"/>
      <c r="B373" s="9" t="s">
        <v>1639</v>
      </c>
      <c r="C373" s="10">
        <v>1509.91</v>
      </c>
    </row>
    <row r="374" spans="1:3" hidden="1" outlineLevel="1">
      <c r="A374" s="12"/>
      <c r="B374" s="9" t="s">
        <v>1776</v>
      </c>
      <c r="C374" s="10">
        <v>1500</v>
      </c>
    </row>
    <row r="375" spans="1:3" hidden="1" outlineLevel="1">
      <c r="A375" s="12"/>
      <c r="B375" s="9" t="s">
        <v>1156</v>
      </c>
      <c r="C375" s="10">
        <v>1385.04</v>
      </c>
    </row>
    <row r="376" spans="1:3" hidden="1" outlineLevel="1">
      <c r="A376" s="12"/>
      <c r="B376" s="9" t="s">
        <v>1777</v>
      </c>
      <c r="C376" s="10">
        <v>1335.65</v>
      </c>
    </row>
    <row r="377" spans="1:3" hidden="1" outlineLevel="1">
      <c r="A377" s="12"/>
      <c r="B377" s="9" t="s">
        <v>1778</v>
      </c>
      <c r="C377" s="10">
        <v>1120.72</v>
      </c>
    </row>
    <row r="378" spans="1:3" ht="27.95" hidden="1" outlineLevel="1">
      <c r="A378" s="12"/>
      <c r="B378" s="9" t="s">
        <v>1779</v>
      </c>
      <c r="C378" s="10">
        <v>1080.8900000000001</v>
      </c>
    </row>
    <row r="379" spans="1:3" hidden="1" outlineLevel="1">
      <c r="A379" s="12"/>
      <c r="B379" s="9" t="s">
        <v>1780</v>
      </c>
      <c r="C379" s="10">
        <v>800</v>
      </c>
    </row>
    <row r="380" spans="1:3" hidden="1" outlineLevel="1">
      <c r="A380" s="12"/>
      <c r="B380" s="9" t="s">
        <v>1781</v>
      </c>
      <c r="C380" s="10">
        <v>782.96</v>
      </c>
    </row>
    <row r="381" spans="1:3" hidden="1" outlineLevel="1">
      <c r="A381" s="12"/>
      <c r="B381" s="9" t="s">
        <v>1782</v>
      </c>
      <c r="C381" s="10">
        <v>675.35</v>
      </c>
    </row>
    <row r="382" spans="1:3" ht="27.95" hidden="1" outlineLevel="1">
      <c r="A382" s="12"/>
      <c r="B382" s="9" t="s">
        <v>1783</v>
      </c>
      <c r="C382" s="10">
        <v>604.53</v>
      </c>
    </row>
    <row r="383" spans="1:3" hidden="1" outlineLevel="1">
      <c r="A383" s="12"/>
      <c r="B383" s="9" t="s">
        <v>1784</v>
      </c>
      <c r="C383" s="10">
        <v>557.48</v>
      </c>
    </row>
    <row r="384" spans="1:3" ht="27.95" hidden="1" outlineLevel="1">
      <c r="A384" s="12"/>
      <c r="B384" s="9" t="s">
        <v>1785</v>
      </c>
      <c r="C384" s="10">
        <v>506.52</v>
      </c>
    </row>
    <row r="385" spans="1:3" hidden="1" outlineLevel="1">
      <c r="A385" s="12"/>
      <c r="B385" s="9" t="s">
        <v>918</v>
      </c>
      <c r="C385" s="10">
        <v>307.51</v>
      </c>
    </row>
    <row r="386" spans="1:3" ht="27.95" hidden="1" outlineLevel="1">
      <c r="A386" s="12"/>
      <c r="B386" s="9" t="s">
        <v>1786</v>
      </c>
      <c r="C386" s="10">
        <v>164.72</v>
      </c>
    </row>
    <row r="387" spans="1:3" hidden="1" outlineLevel="1">
      <c r="A387" s="12"/>
      <c r="B387" s="9" t="s">
        <v>1391</v>
      </c>
      <c r="C387" s="10">
        <v>77.03</v>
      </c>
    </row>
    <row r="388" spans="1:3" collapsed="1">
      <c r="A388" s="12"/>
      <c r="B388" s="13"/>
      <c r="C388" s="14">
        <f>SUM(C325:C344)</f>
        <v>14871360.139999999</v>
      </c>
    </row>
    <row r="389" spans="1:3">
      <c r="A389" s="12"/>
      <c r="B389" s="9"/>
      <c r="C389" s="10"/>
    </row>
    <row r="390" spans="1:3">
      <c r="A390" s="12"/>
      <c r="B390" s="9"/>
      <c r="C390" s="10"/>
    </row>
    <row r="391" spans="1:3" ht="27.95">
      <c r="A391" s="49" t="s">
        <v>10</v>
      </c>
      <c r="B391" s="9" t="s">
        <v>954</v>
      </c>
      <c r="C391" s="10">
        <v>1411043.67</v>
      </c>
    </row>
    <row r="392" spans="1:3" ht="27.95">
      <c r="A392" s="49"/>
      <c r="B392" s="9" t="s">
        <v>1787</v>
      </c>
      <c r="C392" s="10">
        <v>1286961.69</v>
      </c>
    </row>
    <row r="393" spans="1:3">
      <c r="A393" s="49"/>
      <c r="B393" s="9" t="s">
        <v>1788</v>
      </c>
      <c r="C393" s="10">
        <v>666896.54</v>
      </c>
    </row>
    <row r="394" spans="1:3" ht="27.95">
      <c r="A394" s="49"/>
      <c r="B394" s="9" t="s">
        <v>1789</v>
      </c>
      <c r="C394" s="10">
        <v>516952.59</v>
      </c>
    </row>
    <row r="395" spans="1:3" ht="27.95">
      <c r="A395" s="49"/>
      <c r="B395" s="9" t="s">
        <v>1790</v>
      </c>
      <c r="C395" s="10">
        <v>481008</v>
      </c>
    </row>
    <row r="396" spans="1:3" ht="27.95">
      <c r="A396" s="49"/>
      <c r="B396" s="9" t="s">
        <v>1791</v>
      </c>
      <c r="C396" s="10">
        <v>473912.91</v>
      </c>
    </row>
    <row r="397" spans="1:3" ht="27.95">
      <c r="A397" s="49"/>
      <c r="B397" s="9" t="s">
        <v>1446</v>
      </c>
      <c r="C397" s="10">
        <v>400261.08</v>
      </c>
    </row>
    <row r="398" spans="1:3" ht="27.95">
      <c r="A398" s="49"/>
      <c r="B398" s="9" t="s">
        <v>1792</v>
      </c>
      <c r="C398" s="10">
        <v>323257.88</v>
      </c>
    </row>
    <row r="399" spans="1:3" ht="27.95">
      <c r="A399" s="49"/>
      <c r="B399" s="9" t="s">
        <v>1793</v>
      </c>
      <c r="C399" s="10">
        <v>310000</v>
      </c>
    </row>
    <row r="400" spans="1:3" ht="42">
      <c r="A400" s="49"/>
      <c r="B400" s="9" t="s">
        <v>991</v>
      </c>
      <c r="C400" s="10">
        <v>291414.84000000003</v>
      </c>
    </row>
    <row r="401" spans="1:3" ht="27.95">
      <c r="A401" s="49"/>
      <c r="B401" s="9" t="s">
        <v>1794</v>
      </c>
      <c r="C401" s="10">
        <v>258193.64</v>
      </c>
    </row>
    <row r="402" spans="1:3">
      <c r="A402" s="49"/>
      <c r="B402" s="9" t="s">
        <v>1010</v>
      </c>
      <c r="C402" s="10">
        <v>183044.29</v>
      </c>
    </row>
    <row r="403" spans="1:3" ht="27.95">
      <c r="A403" s="49"/>
      <c r="B403" s="9" t="s">
        <v>1005</v>
      </c>
      <c r="C403" s="10">
        <v>163010.97</v>
      </c>
    </row>
    <row r="404" spans="1:3" ht="27.95">
      <c r="A404" s="49"/>
      <c r="B404" s="9" t="s">
        <v>979</v>
      </c>
      <c r="C404" s="10">
        <v>143742.67000000001</v>
      </c>
    </row>
    <row r="405" spans="1:3">
      <c r="A405" s="49"/>
      <c r="B405" s="9" t="s">
        <v>993</v>
      </c>
      <c r="C405" s="10">
        <v>130245.02</v>
      </c>
    </row>
    <row r="406" spans="1:3" ht="27.95">
      <c r="A406" s="49"/>
      <c r="B406" s="9" t="s">
        <v>1795</v>
      </c>
      <c r="C406" s="10">
        <v>126574.8</v>
      </c>
    </row>
    <row r="407" spans="1:3">
      <c r="A407" s="49"/>
      <c r="B407" s="9" t="s">
        <v>1011</v>
      </c>
      <c r="C407" s="10">
        <v>124496.32000000001</v>
      </c>
    </row>
    <row r="408" spans="1:3">
      <c r="A408" s="49"/>
      <c r="B408" s="9" t="s">
        <v>994</v>
      </c>
      <c r="C408" s="10">
        <v>117403.38</v>
      </c>
    </row>
    <row r="409" spans="1:3">
      <c r="A409" s="49"/>
      <c r="B409" s="9" t="s">
        <v>881</v>
      </c>
      <c r="C409" s="10">
        <v>105781.18</v>
      </c>
    </row>
    <row r="410" spans="1:3" ht="27.95">
      <c r="A410" s="49"/>
      <c r="B410" s="9" t="s">
        <v>1796</v>
      </c>
      <c r="C410" s="10">
        <v>103266.8</v>
      </c>
    </row>
    <row r="411" spans="1:3" ht="27.95" hidden="1" outlineLevel="1">
      <c r="A411" s="12"/>
      <c r="B411" s="9" t="s">
        <v>1797</v>
      </c>
      <c r="C411" s="10">
        <v>90000</v>
      </c>
    </row>
    <row r="412" spans="1:3" ht="27.95" hidden="1" outlineLevel="1">
      <c r="A412" s="12"/>
      <c r="B412" s="9" t="s">
        <v>1798</v>
      </c>
      <c r="C412" s="10">
        <v>88816.320000000007</v>
      </c>
    </row>
    <row r="413" spans="1:3" hidden="1" outlineLevel="1">
      <c r="A413" s="12"/>
      <c r="B413" s="9" t="s">
        <v>995</v>
      </c>
      <c r="C413" s="10">
        <v>83839.299999999988</v>
      </c>
    </row>
    <row r="414" spans="1:3" ht="27.95" hidden="1" outlineLevel="1">
      <c r="A414" s="12"/>
      <c r="B414" s="9" t="s">
        <v>892</v>
      </c>
      <c r="C414" s="10">
        <v>74761.820000000007</v>
      </c>
    </row>
    <row r="415" spans="1:3" ht="27.95" hidden="1" outlineLevel="1">
      <c r="A415" s="12"/>
      <c r="B415" s="9" t="s">
        <v>1799</v>
      </c>
      <c r="C415" s="10">
        <v>73117.41</v>
      </c>
    </row>
    <row r="416" spans="1:3" hidden="1" outlineLevel="1">
      <c r="A416" s="12"/>
      <c r="B416" s="9" t="s">
        <v>1800</v>
      </c>
      <c r="C416" s="10">
        <v>65615.149999999994</v>
      </c>
    </row>
    <row r="417" spans="1:3" hidden="1" outlineLevel="1">
      <c r="A417" s="12"/>
      <c r="B417" s="9" t="s">
        <v>1801</v>
      </c>
      <c r="C417" s="10">
        <v>62777.08</v>
      </c>
    </row>
    <row r="418" spans="1:3" hidden="1" outlineLevel="1">
      <c r="A418" s="12"/>
      <c r="B418" s="9" t="s">
        <v>1802</v>
      </c>
      <c r="C418" s="10">
        <v>61598.67</v>
      </c>
    </row>
    <row r="419" spans="1:3" hidden="1" outlineLevel="1">
      <c r="A419" s="12"/>
      <c r="B419" s="9" t="s">
        <v>1647</v>
      </c>
      <c r="C419" s="10">
        <v>61051.44</v>
      </c>
    </row>
    <row r="420" spans="1:3" hidden="1" outlineLevel="1">
      <c r="A420" s="12"/>
      <c r="B420" s="9" t="s">
        <v>1407</v>
      </c>
      <c r="C420" s="10">
        <v>59578.06</v>
      </c>
    </row>
    <row r="421" spans="1:3" hidden="1" outlineLevel="1">
      <c r="A421" s="12"/>
      <c r="B421" s="9" t="s">
        <v>871</v>
      </c>
      <c r="C421" s="10">
        <v>55982.75</v>
      </c>
    </row>
    <row r="422" spans="1:3" hidden="1" outlineLevel="1">
      <c r="A422" s="12"/>
      <c r="B422" s="9" t="s">
        <v>1803</v>
      </c>
      <c r="C422" s="10">
        <v>48241.33</v>
      </c>
    </row>
    <row r="423" spans="1:3" hidden="1" outlineLevel="1">
      <c r="A423" s="12"/>
      <c r="B423" s="9" t="s">
        <v>1804</v>
      </c>
      <c r="C423" s="10">
        <v>46395.75</v>
      </c>
    </row>
    <row r="424" spans="1:3" hidden="1" outlineLevel="1">
      <c r="A424" s="12"/>
      <c r="B424" s="9" t="s">
        <v>1805</v>
      </c>
      <c r="C424" s="10">
        <v>40656.870000000003</v>
      </c>
    </row>
    <row r="425" spans="1:3" hidden="1" outlineLevel="1">
      <c r="A425" s="12"/>
      <c r="B425" s="9" t="s">
        <v>1198</v>
      </c>
      <c r="C425" s="10">
        <v>39600</v>
      </c>
    </row>
    <row r="426" spans="1:3" hidden="1" outlineLevel="1">
      <c r="A426" s="12"/>
      <c r="B426" s="9" t="s">
        <v>1806</v>
      </c>
      <c r="C426" s="10">
        <v>38500</v>
      </c>
    </row>
    <row r="427" spans="1:3" hidden="1" outlineLevel="1">
      <c r="A427" s="12"/>
      <c r="B427" s="9" t="s">
        <v>1426</v>
      </c>
      <c r="C427" s="10">
        <v>38315.660000000003</v>
      </c>
    </row>
    <row r="428" spans="1:3" hidden="1" outlineLevel="1">
      <c r="A428" s="12"/>
      <c r="B428" s="9" t="s">
        <v>1807</v>
      </c>
      <c r="C428" s="10">
        <v>35943.199999999997</v>
      </c>
    </row>
    <row r="429" spans="1:3" ht="27.95" hidden="1" outlineLevel="1">
      <c r="A429" s="12"/>
      <c r="B429" s="9" t="s">
        <v>1808</v>
      </c>
      <c r="C429" s="10">
        <v>34811.11</v>
      </c>
    </row>
    <row r="430" spans="1:3" ht="27.95" hidden="1" outlineLevel="1">
      <c r="A430" s="12"/>
      <c r="B430" s="9" t="s">
        <v>1809</v>
      </c>
      <c r="C430" s="10">
        <v>33367.53</v>
      </c>
    </row>
    <row r="431" spans="1:3" hidden="1" outlineLevel="1">
      <c r="A431" s="12"/>
      <c r="B431" s="9" t="s">
        <v>910</v>
      </c>
      <c r="C431" s="10">
        <v>32256.920000000006</v>
      </c>
    </row>
    <row r="432" spans="1:3" hidden="1" outlineLevel="1">
      <c r="A432" s="12"/>
      <c r="B432" s="9" t="s">
        <v>1810</v>
      </c>
      <c r="C432" s="10">
        <v>30459.86</v>
      </c>
    </row>
    <row r="433" spans="1:3" hidden="1" outlineLevel="1">
      <c r="A433" s="12"/>
      <c r="B433" s="9" t="s">
        <v>932</v>
      </c>
      <c r="C433" s="10">
        <v>29322.869999999995</v>
      </c>
    </row>
    <row r="434" spans="1:3" ht="27.95" hidden="1" outlineLevel="1">
      <c r="A434" s="12"/>
      <c r="B434" s="9" t="s">
        <v>1811</v>
      </c>
      <c r="C434" s="10">
        <v>28983.32</v>
      </c>
    </row>
    <row r="435" spans="1:3" ht="27.95" hidden="1" outlineLevel="1">
      <c r="A435" s="12"/>
      <c r="B435" s="9" t="s">
        <v>1733</v>
      </c>
      <c r="C435" s="10">
        <v>28780.23</v>
      </c>
    </row>
    <row r="436" spans="1:3" hidden="1" outlineLevel="1">
      <c r="A436" s="12"/>
      <c r="B436" s="9" t="s">
        <v>1649</v>
      </c>
      <c r="C436" s="10">
        <v>27500</v>
      </c>
    </row>
    <row r="437" spans="1:3" ht="27.95" hidden="1" outlineLevel="1">
      <c r="A437" s="12"/>
      <c r="B437" s="9" t="s">
        <v>1812</v>
      </c>
      <c r="C437" s="10">
        <v>26178.95</v>
      </c>
    </row>
    <row r="438" spans="1:3" hidden="1" outlineLevel="1">
      <c r="A438" s="12"/>
      <c r="B438" s="9" t="s">
        <v>1022</v>
      </c>
      <c r="C438" s="10">
        <v>26170</v>
      </c>
    </row>
    <row r="439" spans="1:3" hidden="1" outlineLevel="1">
      <c r="A439" s="12"/>
      <c r="B439" s="9" t="s">
        <v>917</v>
      </c>
      <c r="C439" s="10">
        <v>25992.540000000005</v>
      </c>
    </row>
    <row r="440" spans="1:3" hidden="1" outlineLevel="1">
      <c r="A440" s="12"/>
      <c r="B440" s="9" t="s">
        <v>1025</v>
      </c>
      <c r="C440" s="10">
        <v>24808.120000000003</v>
      </c>
    </row>
    <row r="441" spans="1:3" hidden="1" outlineLevel="1">
      <c r="A441" s="12"/>
      <c r="B441" s="9" t="s">
        <v>1813</v>
      </c>
      <c r="C441" s="10">
        <v>23698.959999999999</v>
      </c>
    </row>
    <row r="442" spans="1:3" hidden="1" outlineLevel="1">
      <c r="A442" s="12"/>
      <c r="B442" s="9" t="s">
        <v>1002</v>
      </c>
      <c r="C442" s="10">
        <v>23000</v>
      </c>
    </row>
    <row r="443" spans="1:3" ht="27.95" hidden="1" outlineLevel="1">
      <c r="A443" s="12"/>
      <c r="B443" s="9" t="s">
        <v>1814</v>
      </c>
      <c r="C443" s="10">
        <v>22001.59</v>
      </c>
    </row>
    <row r="444" spans="1:3" hidden="1" outlineLevel="1">
      <c r="A444" s="12"/>
      <c r="B444" s="9" t="s">
        <v>1815</v>
      </c>
      <c r="C444" s="10">
        <v>21500.36</v>
      </c>
    </row>
    <row r="445" spans="1:3" hidden="1" outlineLevel="1">
      <c r="A445" s="12"/>
      <c r="B445" s="9" t="s">
        <v>934</v>
      </c>
      <c r="C445" s="10">
        <v>20398.41</v>
      </c>
    </row>
    <row r="446" spans="1:3" hidden="1" outlineLevel="1">
      <c r="A446" s="12"/>
      <c r="B446" s="9" t="s">
        <v>1307</v>
      </c>
      <c r="C446" s="10">
        <v>20306.61</v>
      </c>
    </row>
    <row r="447" spans="1:3" hidden="1" outlineLevel="1">
      <c r="A447" s="12"/>
      <c r="B447" s="9" t="s">
        <v>931</v>
      </c>
      <c r="C447" s="10">
        <v>19066.669999999998</v>
      </c>
    </row>
    <row r="448" spans="1:3" ht="27.95" hidden="1" outlineLevel="1">
      <c r="A448" s="12"/>
      <c r="B448" s="9" t="s">
        <v>1816</v>
      </c>
      <c r="C448" s="10">
        <v>18932.7</v>
      </c>
    </row>
    <row r="449" spans="1:3" ht="27.95" hidden="1" outlineLevel="1">
      <c r="A449" s="12"/>
      <c r="B449" s="9" t="s">
        <v>1817</v>
      </c>
      <c r="C449" s="10">
        <v>18332.38</v>
      </c>
    </row>
    <row r="450" spans="1:3" hidden="1" outlineLevel="1">
      <c r="A450" s="12"/>
      <c r="B450" s="9" t="s">
        <v>1818</v>
      </c>
      <c r="C450" s="10">
        <v>17779.23</v>
      </c>
    </row>
    <row r="451" spans="1:3" ht="27.95" hidden="1" outlineLevel="1">
      <c r="A451" s="12"/>
      <c r="B451" s="9" t="s">
        <v>1819</v>
      </c>
      <c r="C451" s="10">
        <v>15354.41</v>
      </c>
    </row>
    <row r="452" spans="1:3" hidden="1" outlineLevel="1">
      <c r="A452" s="12"/>
      <c r="B452" s="9" t="s">
        <v>920</v>
      </c>
      <c r="C452" s="10">
        <v>15120</v>
      </c>
    </row>
    <row r="453" spans="1:3" ht="27.95" hidden="1" outlineLevel="1">
      <c r="A453" s="12"/>
      <c r="B453" s="9" t="s">
        <v>1373</v>
      </c>
      <c r="C453" s="10">
        <v>14835</v>
      </c>
    </row>
    <row r="454" spans="1:3" hidden="1" outlineLevel="1">
      <c r="A454" s="12"/>
      <c r="B454" s="9" t="s">
        <v>941</v>
      </c>
      <c r="C454" s="10">
        <v>13111.25</v>
      </c>
    </row>
    <row r="455" spans="1:3" ht="27.95" hidden="1" outlineLevel="1">
      <c r="A455" s="12"/>
      <c r="B455" s="9" t="s">
        <v>1820</v>
      </c>
      <c r="C455" s="10">
        <v>11769.93</v>
      </c>
    </row>
    <row r="456" spans="1:3" ht="27.95" hidden="1" outlineLevel="1">
      <c r="A456" s="12"/>
      <c r="B456" s="9" t="s">
        <v>1821</v>
      </c>
      <c r="C456" s="10">
        <v>11615.17</v>
      </c>
    </row>
    <row r="457" spans="1:3" hidden="1" outlineLevel="1">
      <c r="A457" s="12"/>
      <c r="B457" s="9" t="s">
        <v>1678</v>
      </c>
      <c r="C457" s="10">
        <v>10895.58</v>
      </c>
    </row>
    <row r="458" spans="1:3" hidden="1" outlineLevel="1">
      <c r="A458" s="12"/>
      <c r="B458" s="9" t="s">
        <v>1463</v>
      </c>
      <c r="C458" s="10">
        <v>10575.9</v>
      </c>
    </row>
    <row r="459" spans="1:3" ht="27.95" hidden="1" outlineLevel="1">
      <c r="A459" s="12"/>
      <c r="B459" s="9" t="s">
        <v>1822</v>
      </c>
      <c r="C459" s="10">
        <v>10272.9</v>
      </c>
    </row>
    <row r="460" spans="1:3" ht="27.95" hidden="1" outlineLevel="1">
      <c r="A460" s="12"/>
      <c r="B460" s="9" t="s">
        <v>1823</v>
      </c>
      <c r="C460" s="10">
        <v>10189.280000000001</v>
      </c>
    </row>
    <row r="461" spans="1:3" hidden="1" outlineLevel="1">
      <c r="A461" s="12"/>
      <c r="B461" s="9" t="s">
        <v>1737</v>
      </c>
      <c r="C461" s="10">
        <v>9349.23</v>
      </c>
    </row>
    <row r="462" spans="1:3" hidden="1" outlineLevel="1">
      <c r="A462" s="12"/>
      <c r="B462" s="9" t="s">
        <v>1824</v>
      </c>
      <c r="C462" s="10">
        <v>9200</v>
      </c>
    </row>
    <row r="463" spans="1:3" hidden="1" outlineLevel="1">
      <c r="A463" s="12"/>
      <c r="B463" s="9" t="s">
        <v>1825</v>
      </c>
      <c r="C463" s="10">
        <v>8934.51</v>
      </c>
    </row>
    <row r="464" spans="1:3" hidden="1" outlineLevel="1">
      <c r="A464" s="12"/>
      <c r="B464" s="9" t="s">
        <v>1639</v>
      </c>
      <c r="C464" s="10">
        <v>8681.98</v>
      </c>
    </row>
    <row r="465" spans="1:3" hidden="1" outlineLevel="1">
      <c r="A465" s="12"/>
      <c r="B465" s="9" t="s">
        <v>1013</v>
      </c>
      <c r="C465" s="10">
        <v>8155.08</v>
      </c>
    </row>
    <row r="466" spans="1:3" hidden="1" outlineLevel="1">
      <c r="A466" s="12"/>
      <c r="B466" s="9" t="s">
        <v>1826</v>
      </c>
      <c r="C466" s="10">
        <v>7623.52</v>
      </c>
    </row>
    <row r="467" spans="1:3" hidden="1" outlineLevel="1">
      <c r="A467" s="12"/>
      <c r="B467" s="9" t="s">
        <v>996</v>
      </c>
      <c r="C467" s="10">
        <v>7533.67</v>
      </c>
    </row>
    <row r="468" spans="1:3" hidden="1" outlineLevel="1">
      <c r="A468" s="12"/>
      <c r="B468" s="9" t="s">
        <v>930</v>
      </c>
      <c r="C468" s="10">
        <v>7281.87</v>
      </c>
    </row>
    <row r="469" spans="1:3" hidden="1" outlineLevel="1">
      <c r="A469" s="12"/>
      <c r="B469" s="9" t="s">
        <v>1102</v>
      </c>
      <c r="C469" s="10">
        <v>6575.18</v>
      </c>
    </row>
    <row r="470" spans="1:3" hidden="1" outlineLevel="1">
      <c r="A470" s="12"/>
      <c r="B470" s="9" t="s">
        <v>1642</v>
      </c>
      <c r="C470" s="10">
        <v>6510.42</v>
      </c>
    </row>
    <row r="471" spans="1:3" hidden="1" outlineLevel="1">
      <c r="A471" s="12"/>
      <c r="B471" s="9" t="s">
        <v>1827</v>
      </c>
      <c r="C471" s="10">
        <v>6374.08</v>
      </c>
    </row>
    <row r="472" spans="1:3" hidden="1" outlineLevel="1">
      <c r="A472" s="12"/>
      <c r="B472" s="9" t="s">
        <v>1828</v>
      </c>
      <c r="C472" s="10">
        <v>6333.33</v>
      </c>
    </row>
    <row r="473" spans="1:3" hidden="1" outlineLevel="1">
      <c r="A473" s="12"/>
      <c r="B473" s="9" t="s">
        <v>929</v>
      </c>
      <c r="C473" s="10">
        <v>6109.38</v>
      </c>
    </row>
    <row r="474" spans="1:3" hidden="1" outlineLevel="1">
      <c r="A474" s="12"/>
      <c r="B474" s="9" t="s">
        <v>918</v>
      </c>
      <c r="C474" s="10">
        <v>5688.87</v>
      </c>
    </row>
    <row r="475" spans="1:3" ht="27.95" hidden="1" outlineLevel="1">
      <c r="A475" s="12"/>
      <c r="B475" s="9" t="s">
        <v>1829</v>
      </c>
      <c r="C475" s="10">
        <v>5633.36</v>
      </c>
    </row>
    <row r="476" spans="1:3" hidden="1" outlineLevel="1">
      <c r="A476" s="12"/>
      <c r="B476" s="9" t="s">
        <v>921</v>
      </c>
      <c r="C476" s="10">
        <v>5561.5</v>
      </c>
    </row>
    <row r="477" spans="1:3" ht="27.95" hidden="1" outlineLevel="1">
      <c r="A477" s="12"/>
      <c r="B477" s="9" t="s">
        <v>1830</v>
      </c>
      <c r="C477" s="10">
        <v>5137.47</v>
      </c>
    </row>
    <row r="478" spans="1:3" hidden="1" outlineLevel="1">
      <c r="A478" s="12"/>
      <c r="B478" s="9" t="s">
        <v>938</v>
      </c>
      <c r="C478" s="10">
        <v>5100</v>
      </c>
    </row>
    <row r="479" spans="1:3" hidden="1" outlineLevel="1">
      <c r="A479" s="12"/>
      <c r="B479" s="9" t="s">
        <v>1831</v>
      </c>
      <c r="C479" s="10">
        <v>4800</v>
      </c>
    </row>
    <row r="480" spans="1:3" hidden="1" outlineLevel="1">
      <c r="A480" s="12"/>
      <c r="B480" s="9" t="s">
        <v>1832</v>
      </c>
      <c r="C480" s="10">
        <v>4741.29</v>
      </c>
    </row>
    <row r="481" spans="1:3" hidden="1" outlineLevel="1">
      <c r="A481" s="12"/>
      <c r="B481" s="9" t="s">
        <v>1650</v>
      </c>
      <c r="C481" s="10">
        <v>4680</v>
      </c>
    </row>
    <row r="482" spans="1:3" hidden="1" outlineLevel="1">
      <c r="A482" s="12"/>
      <c r="B482" s="9" t="s">
        <v>1607</v>
      </c>
      <c r="C482" s="10">
        <v>4626.6399999999994</v>
      </c>
    </row>
    <row r="483" spans="1:3" ht="27.95" hidden="1" outlineLevel="1">
      <c r="A483" s="12"/>
      <c r="B483" s="9" t="s">
        <v>1490</v>
      </c>
      <c r="C483" s="10">
        <v>4188.5</v>
      </c>
    </row>
    <row r="484" spans="1:3" ht="27.95" hidden="1" outlineLevel="1">
      <c r="A484" s="12"/>
      <c r="B484" s="9" t="s">
        <v>1833</v>
      </c>
      <c r="C484" s="10">
        <v>4000</v>
      </c>
    </row>
    <row r="485" spans="1:3" hidden="1" outlineLevel="1">
      <c r="A485" s="12"/>
      <c r="B485" s="9" t="s">
        <v>1834</v>
      </c>
      <c r="C485" s="10">
        <v>3867.46</v>
      </c>
    </row>
    <row r="486" spans="1:3" hidden="1" outlineLevel="1">
      <c r="A486" s="12"/>
      <c r="B486" s="9" t="s">
        <v>1562</v>
      </c>
      <c r="C486" s="10">
        <v>3822.84</v>
      </c>
    </row>
    <row r="487" spans="1:3" ht="27.95" hidden="1" outlineLevel="1">
      <c r="A487" s="12"/>
      <c r="B487" s="9" t="s">
        <v>1492</v>
      </c>
      <c r="C487" s="10">
        <v>3696.48</v>
      </c>
    </row>
    <row r="488" spans="1:3" hidden="1" outlineLevel="1">
      <c r="A488" s="12"/>
      <c r="B488" s="9" t="s">
        <v>925</v>
      </c>
      <c r="C488" s="10">
        <v>3526.12</v>
      </c>
    </row>
    <row r="489" spans="1:3" hidden="1" outlineLevel="1">
      <c r="A489" s="12"/>
      <c r="B489" s="9" t="s">
        <v>926</v>
      </c>
      <c r="C489" s="10">
        <v>3500</v>
      </c>
    </row>
    <row r="490" spans="1:3" hidden="1" outlineLevel="1">
      <c r="A490" s="12"/>
      <c r="B490" s="9" t="s">
        <v>919</v>
      </c>
      <c r="C490" s="10">
        <v>3168.42</v>
      </c>
    </row>
    <row r="491" spans="1:3" hidden="1" outlineLevel="1">
      <c r="A491" s="12"/>
      <c r="B491" s="9" t="s">
        <v>1835</v>
      </c>
      <c r="C491" s="10">
        <v>3113.52</v>
      </c>
    </row>
    <row r="492" spans="1:3" hidden="1" outlineLevel="1">
      <c r="A492" s="12"/>
      <c r="B492" s="9" t="s">
        <v>911</v>
      </c>
      <c r="C492" s="10">
        <v>2925</v>
      </c>
    </row>
    <row r="493" spans="1:3" ht="27.95" hidden="1" outlineLevel="1">
      <c r="A493" s="12"/>
      <c r="B493" s="9" t="s">
        <v>1496</v>
      </c>
      <c r="C493" s="10">
        <v>2400</v>
      </c>
    </row>
    <row r="494" spans="1:3" ht="27.95" hidden="1" outlineLevel="1">
      <c r="A494" s="12"/>
      <c r="B494" s="9" t="s">
        <v>1108</v>
      </c>
      <c r="C494" s="10">
        <v>2329.33</v>
      </c>
    </row>
    <row r="495" spans="1:3" ht="27.95" hidden="1" outlineLevel="1">
      <c r="A495" s="12"/>
      <c r="B495" s="9" t="s">
        <v>1836</v>
      </c>
      <c r="C495" s="10">
        <v>2182.1499999999996</v>
      </c>
    </row>
    <row r="496" spans="1:3" hidden="1" outlineLevel="1">
      <c r="A496" s="12"/>
      <c r="B496" s="9" t="s">
        <v>1837</v>
      </c>
      <c r="C496" s="10">
        <v>2000</v>
      </c>
    </row>
    <row r="497" spans="1:3" hidden="1" outlineLevel="1">
      <c r="A497" s="12"/>
      <c r="B497" s="9" t="s">
        <v>1658</v>
      </c>
      <c r="C497" s="10">
        <v>1958.6799999999998</v>
      </c>
    </row>
    <row r="498" spans="1:3" hidden="1" outlineLevel="1">
      <c r="A498" s="12"/>
      <c r="B498" s="9" t="s">
        <v>1838</v>
      </c>
      <c r="C498" s="10">
        <v>1567.7</v>
      </c>
    </row>
    <row r="499" spans="1:3" hidden="1" outlineLevel="1">
      <c r="A499" s="12"/>
      <c r="B499" s="9" t="s">
        <v>1839</v>
      </c>
      <c r="C499" s="10">
        <v>1500</v>
      </c>
    </row>
    <row r="500" spans="1:3" hidden="1" outlineLevel="1">
      <c r="A500" s="12"/>
      <c r="B500" s="9" t="s">
        <v>1744</v>
      </c>
      <c r="C500" s="10">
        <v>1487.57</v>
      </c>
    </row>
    <row r="501" spans="1:3" hidden="1" outlineLevel="1">
      <c r="A501" s="12"/>
      <c r="B501" s="9" t="s">
        <v>1648</v>
      </c>
      <c r="C501" s="10">
        <v>1375</v>
      </c>
    </row>
    <row r="502" spans="1:3" ht="27.95" hidden="1" outlineLevel="1">
      <c r="A502" s="12"/>
      <c r="B502" s="9" t="s">
        <v>1298</v>
      </c>
      <c r="C502" s="10">
        <v>1334.85</v>
      </c>
    </row>
    <row r="503" spans="1:3" hidden="1" outlineLevel="1">
      <c r="A503" s="12"/>
      <c r="B503" s="9" t="s">
        <v>1641</v>
      </c>
      <c r="C503" s="10">
        <v>1200</v>
      </c>
    </row>
    <row r="504" spans="1:3" hidden="1" outlineLevel="1">
      <c r="A504" s="12"/>
      <c r="B504" s="9" t="s">
        <v>1323</v>
      </c>
      <c r="C504" s="10">
        <v>908.13</v>
      </c>
    </row>
    <row r="505" spans="1:3" hidden="1" outlineLevel="1">
      <c r="A505" s="12"/>
      <c r="B505" s="9" t="s">
        <v>1332</v>
      </c>
      <c r="C505" s="10">
        <v>898.61000000000013</v>
      </c>
    </row>
    <row r="506" spans="1:3" hidden="1" outlineLevel="1">
      <c r="A506" s="12"/>
      <c r="B506" s="9" t="s">
        <v>1657</v>
      </c>
      <c r="C506" s="10">
        <v>858.97</v>
      </c>
    </row>
    <row r="507" spans="1:3" hidden="1" outlineLevel="1">
      <c r="A507" s="12"/>
      <c r="B507" s="9" t="s">
        <v>1840</v>
      </c>
      <c r="C507" s="10">
        <v>840</v>
      </c>
    </row>
    <row r="508" spans="1:3" hidden="1" outlineLevel="1">
      <c r="A508" s="12"/>
      <c r="B508" s="9" t="s">
        <v>1841</v>
      </c>
      <c r="C508" s="10">
        <v>793.5</v>
      </c>
    </row>
    <row r="509" spans="1:3" hidden="1" outlineLevel="1">
      <c r="A509" s="12"/>
      <c r="B509" s="9" t="s">
        <v>1842</v>
      </c>
      <c r="C509" s="10">
        <v>691.53</v>
      </c>
    </row>
    <row r="510" spans="1:3" hidden="1" outlineLevel="1">
      <c r="A510" s="12"/>
      <c r="B510" s="9" t="s">
        <v>1655</v>
      </c>
      <c r="C510" s="10">
        <v>661.51</v>
      </c>
    </row>
    <row r="511" spans="1:3" hidden="1" outlineLevel="1">
      <c r="A511" s="12"/>
      <c r="B511" s="9" t="s">
        <v>1660</v>
      </c>
      <c r="C511" s="10">
        <v>536.11</v>
      </c>
    </row>
    <row r="512" spans="1:3" hidden="1" outlineLevel="1">
      <c r="A512" s="12"/>
      <c r="B512" s="9" t="s">
        <v>1659</v>
      </c>
      <c r="C512" s="10">
        <v>520</v>
      </c>
    </row>
    <row r="513" spans="1:3" hidden="1" outlineLevel="1">
      <c r="A513" s="12"/>
      <c r="B513" s="9" t="s">
        <v>1156</v>
      </c>
      <c r="C513" s="10">
        <v>461.68</v>
      </c>
    </row>
    <row r="514" spans="1:3" ht="27.95" hidden="1" outlineLevel="1">
      <c r="A514" s="12"/>
      <c r="B514" s="9" t="s">
        <v>1042</v>
      </c>
      <c r="C514" s="10">
        <v>443.87</v>
      </c>
    </row>
    <row r="515" spans="1:3" ht="27.95" hidden="1" outlineLevel="1">
      <c r="A515" s="12"/>
      <c r="B515" s="9" t="s">
        <v>1746</v>
      </c>
      <c r="C515" s="10">
        <v>433.34</v>
      </c>
    </row>
    <row r="516" spans="1:3" hidden="1" outlineLevel="1">
      <c r="A516" s="12"/>
      <c r="B516" s="9" t="s">
        <v>1843</v>
      </c>
      <c r="C516" s="10">
        <v>213.33</v>
      </c>
    </row>
    <row r="517" spans="1:3" hidden="1" outlineLevel="1">
      <c r="A517" s="12"/>
      <c r="B517" s="9" t="s">
        <v>1844</v>
      </c>
      <c r="C517" s="10">
        <v>0</v>
      </c>
    </row>
    <row r="518" spans="1:3" collapsed="1">
      <c r="A518" s="12"/>
      <c r="B518" s="13"/>
      <c r="C518" s="14">
        <f>SUM(C391:C410)</f>
        <v>7617468.2699999986</v>
      </c>
    </row>
    <row r="519" spans="1:3">
      <c r="A519" s="12"/>
      <c r="B519" s="9"/>
      <c r="C519" s="10"/>
    </row>
    <row r="520" spans="1:3">
      <c r="A520" s="12"/>
      <c r="B520" s="9"/>
      <c r="C520" s="10"/>
    </row>
    <row r="521" spans="1:3">
      <c r="A521" s="12"/>
      <c r="B521" s="9"/>
      <c r="C521" s="10"/>
    </row>
    <row r="522" spans="1:3">
      <c r="A522" s="47" t="s">
        <v>9</v>
      </c>
      <c r="B522" s="9" t="s">
        <v>1845</v>
      </c>
      <c r="C522" s="10">
        <v>1813829.5499999998</v>
      </c>
    </row>
    <row r="523" spans="1:3" ht="27.95">
      <c r="A523" s="47"/>
      <c r="B523" s="9" t="s">
        <v>1446</v>
      </c>
      <c r="C523" s="10">
        <v>698848.11000000034</v>
      </c>
    </row>
    <row r="524" spans="1:3" ht="27.95">
      <c r="A524" s="47"/>
      <c r="B524" s="9" t="s">
        <v>1396</v>
      </c>
      <c r="C524" s="10">
        <v>604672.89</v>
      </c>
    </row>
    <row r="525" spans="1:3">
      <c r="A525" s="47"/>
      <c r="B525" s="9" t="s">
        <v>1846</v>
      </c>
      <c r="C525" s="10">
        <v>511213.25</v>
      </c>
    </row>
    <row r="526" spans="1:3" ht="27.95">
      <c r="A526" s="47"/>
      <c r="B526" s="9" t="s">
        <v>1402</v>
      </c>
      <c r="C526" s="10">
        <v>361315.6</v>
      </c>
    </row>
    <row r="527" spans="1:3" ht="27.95">
      <c r="A527" s="47"/>
      <c r="B527" s="9" t="s">
        <v>1847</v>
      </c>
      <c r="C527" s="10">
        <v>356460.54</v>
      </c>
    </row>
    <row r="528" spans="1:3">
      <c r="A528" s="47"/>
      <c r="B528" s="9" t="s">
        <v>1393</v>
      </c>
      <c r="C528" s="10">
        <v>315989.07</v>
      </c>
    </row>
    <row r="529" spans="1:3" ht="27.95">
      <c r="A529" s="47"/>
      <c r="B529" s="9" t="s">
        <v>1848</v>
      </c>
      <c r="C529" s="10">
        <v>248983.26</v>
      </c>
    </row>
    <row r="530" spans="1:3" ht="27.95">
      <c r="A530" s="47"/>
      <c r="B530" s="9" t="s">
        <v>1849</v>
      </c>
      <c r="C530" s="10">
        <v>206320.19</v>
      </c>
    </row>
    <row r="531" spans="1:3" ht="27.95">
      <c r="A531" s="47"/>
      <c r="B531" s="9" t="s">
        <v>1395</v>
      </c>
      <c r="C531" s="10">
        <v>201765.65</v>
      </c>
    </row>
    <row r="532" spans="1:3" ht="27.95">
      <c r="A532" s="47"/>
      <c r="B532" s="9" t="s">
        <v>1850</v>
      </c>
      <c r="C532" s="10">
        <v>200000</v>
      </c>
    </row>
    <row r="533" spans="1:3" ht="27.95">
      <c r="A533" s="47"/>
      <c r="B533" s="9" t="s">
        <v>1429</v>
      </c>
      <c r="C533" s="10">
        <v>171628.05</v>
      </c>
    </row>
    <row r="534" spans="1:3" ht="27.95">
      <c r="A534" s="47"/>
      <c r="B534" s="9" t="s">
        <v>1851</v>
      </c>
      <c r="C534" s="10">
        <v>160918.45000000001</v>
      </c>
    </row>
    <row r="535" spans="1:3">
      <c r="A535" s="47"/>
      <c r="B535" s="9" t="s">
        <v>1407</v>
      </c>
      <c r="C535" s="10">
        <v>148945.14000000001</v>
      </c>
    </row>
    <row r="536" spans="1:3" ht="27.95">
      <c r="A536" s="47"/>
      <c r="B536" s="9" t="s">
        <v>1852</v>
      </c>
      <c r="C536" s="10">
        <v>134256.85</v>
      </c>
    </row>
    <row r="537" spans="1:3">
      <c r="A537" s="47"/>
      <c r="B537" s="9" t="s">
        <v>1853</v>
      </c>
      <c r="C537" s="10">
        <v>118972.42</v>
      </c>
    </row>
    <row r="538" spans="1:3" ht="27.95">
      <c r="A538" s="47"/>
      <c r="B538" s="9" t="s">
        <v>1854</v>
      </c>
      <c r="C538" s="10">
        <v>117654.27</v>
      </c>
    </row>
    <row r="539" spans="1:3">
      <c r="A539" s="47"/>
      <c r="B539" s="9" t="s">
        <v>1410</v>
      </c>
      <c r="C539" s="10">
        <v>116194.26</v>
      </c>
    </row>
    <row r="540" spans="1:3" ht="27.95">
      <c r="A540" s="47"/>
      <c r="B540" s="9" t="s">
        <v>1855</v>
      </c>
      <c r="C540" s="10">
        <v>110658.64</v>
      </c>
    </row>
    <row r="541" spans="1:3">
      <c r="A541" s="47"/>
      <c r="B541" s="9" t="s">
        <v>910</v>
      </c>
      <c r="C541" s="10">
        <v>106276.10999999996</v>
      </c>
    </row>
    <row r="542" spans="1:3" hidden="1" outlineLevel="1">
      <c r="A542" s="12"/>
      <c r="B542" s="9" t="s">
        <v>1856</v>
      </c>
      <c r="C542" s="10">
        <v>83783.59</v>
      </c>
    </row>
    <row r="543" spans="1:3" hidden="1" outlineLevel="1">
      <c r="A543" s="12"/>
      <c r="B543" s="9" t="s">
        <v>1857</v>
      </c>
      <c r="C543" s="10">
        <v>81894.03</v>
      </c>
    </row>
    <row r="544" spans="1:3" ht="27.95" hidden="1" outlineLevel="1">
      <c r="A544" s="12"/>
      <c r="B544" s="9" t="s">
        <v>1858</v>
      </c>
      <c r="C544" s="10">
        <v>81311.58</v>
      </c>
    </row>
    <row r="545" spans="1:3" ht="27.95" hidden="1" outlineLevel="1">
      <c r="A545" s="12"/>
      <c r="B545" s="9" t="s">
        <v>1472</v>
      </c>
      <c r="C545" s="10">
        <v>70534.899999999994</v>
      </c>
    </row>
    <row r="546" spans="1:3" ht="27.95" hidden="1" outlineLevel="1">
      <c r="A546" s="9" t="s">
        <v>9</v>
      </c>
      <c r="B546" s="9" t="s">
        <v>1859</v>
      </c>
      <c r="C546" s="10">
        <v>68709.34</v>
      </c>
    </row>
    <row r="547" spans="1:3" ht="27.95" hidden="1" outlineLevel="1">
      <c r="A547" s="12"/>
      <c r="B547" s="9" t="s">
        <v>1860</v>
      </c>
      <c r="C547" s="10">
        <v>68288.63</v>
      </c>
    </row>
    <row r="548" spans="1:3" hidden="1" outlineLevel="1">
      <c r="A548" s="12"/>
      <c r="B548" s="9" t="s">
        <v>1647</v>
      </c>
      <c r="C548" s="10">
        <v>66601.58</v>
      </c>
    </row>
    <row r="549" spans="1:3" ht="27.95" hidden="1" outlineLevel="1">
      <c r="A549" s="12"/>
      <c r="B549" s="9" t="s">
        <v>1861</v>
      </c>
      <c r="C549" s="10">
        <v>51808.65</v>
      </c>
    </row>
    <row r="550" spans="1:3" hidden="1" outlineLevel="1">
      <c r="A550" s="12"/>
      <c r="B550" s="9" t="s">
        <v>1107</v>
      </c>
      <c r="C550" s="10">
        <v>51431.12</v>
      </c>
    </row>
    <row r="551" spans="1:3" hidden="1" outlineLevel="1">
      <c r="A551" s="12"/>
      <c r="B551" s="9" t="s">
        <v>1357</v>
      </c>
      <c r="C551" s="10">
        <v>44571.5</v>
      </c>
    </row>
    <row r="552" spans="1:3" hidden="1" outlineLevel="1">
      <c r="A552" s="12"/>
      <c r="B552" s="9" t="s">
        <v>1421</v>
      </c>
      <c r="C552" s="10">
        <v>44179.229999999996</v>
      </c>
    </row>
    <row r="553" spans="1:3" hidden="1" outlineLevel="1">
      <c r="A553" s="12"/>
      <c r="B553" s="9" t="s">
        <v>1862</v>
      </c>
      <c r="C553" s="10">
        <v>41402.57</v>
      </c>
    </row>
    <row r="554" spans="1:3" hidden="1" outlineLevel="1">
      <c r="A554" s="12"/>
      <c r="B554" s="9" t="s">
        <v>1427</v>
      </c>
      <c r="C554" s="10">
        <v>36972.050000000003</v>
      </c>
    </row>
    <row r="555" spans="1:3" hidden="1" outlineLevel="1">
      <c r="A555" s="12"/>
      <c r="B555" s="9" t="s">
        <v>1345</v>
      </c>
      <c r="C555" s="10">
        <v>34456.230000000003</v>
      </c>
    </row>
    <row r="556" spans="1:3" hidden="1" outlineLevel="1">
      <c r="A556" s="12"/>
      <c r="B556" s="9" t="s">
        <v>1863</v>
      </c>
      <c r="C556" s="10">
        <v>34000</v>
      </c>
    </row>
    <row r="557" spans="1:3" ht="27.95" hidden="1" outlineLevel="1">
      <c r="A557" s="12"/>
      <c r="B557" s="9" t="s">
        <v>1864</v>
      </c>
      <c r="C557" s="10">
        <v>32365.14</v>
      </c>
    </row>
    <row r="558" spans="1:3" hidden="1" outlineLevel="1">
      <c r="A558" s="12"/>
      <c r="B558" s="9" t="s">
        <v>881</v>
      </c>
      <c r="C558" s="10">
        <v>25185.99</v>
      </c>
    </row>
    <row r="559" spans="1:3" hidden="1" outlineLevel="1">
      <c r="A559" s="12"/>
      <c r="B559" s="9" t="s">
        <v>1067</v>
      </c>
      <c r="C559" s="10">
        <v>24700</v>
      </c>
    </row>
    <row r="560" spans="1:3" ht="27.95" hidden="1" outlineLevel="1">
      <c r="A560" s="12"/>
      <c r="B560" s="9" t="s">
        <v>1865</v>
      </c>
      <c r="C560" s="10">
        <v>21716.71</v>
      </c>
    </row>
    <row r="561" spans="1:3" hidden="1" outlineLevel="1">
      <c r="A561" s="12"/>
      <c r="B561" s="9" t="s">
        <v>1671</v>
      </c>
      <c r="C561" s="10">
        <v>20340.12</v>
      </c>
    </row>
    <row r="562" spans="1:3" ht="27.95" hidden="1" outlineLevel="1">
      <c r="A562" s="12"/>
      <c r="B562" s="9" t="s">
        <v>1423</v>
      </c>
      <c r="C562" s="10">
        <v>20000</v>
      </c>
    </row>
    <row r="563" spans="1:3" ht="27.95" hidden="1" outlineLevel="1">
      <c r="A563" s="12"/>
      <c r="B563" s="9" t="s">
        <v>1866</v>
      </c>
      <c r="C563" s="10">
        <v>19458.669999999998</v>
      </c>
    </row>
    <row r="564" spans="1:3" hidden="1" outlineLevel="1">
      <c r="A564" s="12"/>
      <c r="B564" s="9" t="s">
        <v>1867</v>
      </c>
      <c r="C564" s="10">
        <v>16972.22</v>
      </c>
    </row>
    <row r="565" spans="1:3" hidden="1" outlineLevel="1">
      <c r="A565" s="12"/>
      <c r="B565" s="9" t="s">
        <v>1868</v>
      </c>
      <c r="C565" s="10">
        <v>16437.59</v>
      </c>
    </row>
    <row r="566" spans="1:3" hidden="1" outlineLevel="1">
      <c r="A566" s="12"/>
      <c r="B566" s="9" t="s">
        <v>1834</v>
      </c>
      <c r="C566" s="10">
        <v>15469.85</v>
      </c>
    </row>
    <row r="567" spans="1:3" hidden="1" outlineLevel="1">
      <c r="A567" s="12"/>
      <c r="B567" s="9" t="s">
        <v>1025</v>
      </c>
      <c r="C567" s="10">
        <v>9923.25</v>
      </c>
    </row>
    <row r="568" spans="1:3" hidden="1" outlineLevel="1">
      <c r="A568" s="12"/>
      <c r="B568" s="9" t="s">
        <v>1442</v>
      </c>
      <c r="C568" s="10">
        <v>8386.1</v>
      </c>
    </row>
    <row r="569" spans="1:3" hidden="1" outlineLevel="1">
      <c r="A569" s="12"/>
      <c r="B569" s="9" t="s">
        <v>1013</v>
      </c>
      <c r="C569" s="10">
        <v>8155.08</v>
      </c>
    </row>
    <row r="570" spans="1:3" hidden="1" outlineLevel="1">
      <c r="A570" s="12"/>
      <c r="B570" s="9" t="s">
        <v>925</v>
      </c>
      <c r="C570" s="10">
        <v>6993.9400000000005</v>
      </c>
    </row>
    <row r="571" spans="1:3" hidden="1" outlineLevel="1">
      <c r="A571" s="12"/>
      <c r="B571" s="9" t="s">
        <v>1869</v>
      </c>
      <c r="C571" s="10">
        <v>5509.86</v>
      </c>
    </row>
    <row r="572" spans="1:3" hidden="1" outlineLevel="1">
      <c r="A572" s="12"/>
      <c r="B572" s="9" t="s">
        <v>1448</v>
      </c>
      <c r="C572" s="10">
        <v>3771.14</v>
      </c>
    </row>
    <row r="573" spans="1:3" ht="27.95" hidden="1" outlineLevel="1">
      <c r="A573" s="12"/>
      <c r="B573" s="9" t="s">
        <v>1493</v>
      </c>
      <c r="C573" s="10">
        <v>3600</v>
      </c>
    </row>
    <row r="574" spans="1:3" hidden="1" outlineLevel="1">
      <c r="A574" s="12"/>
      <c r="B574" s="9" t="s">
        <v>996</v>
      </c>
      <c r="C574" s="10">
        <v>3515.71</v>
      </c>
    </row>
    <row r="575" spans="1:3" hidden="1" outlineLevel="1">
      <c r="A575" s="12"/>
      <c r="B575" s="9" t="s">
        <v>1870</v>
      </c>
      <c r="C575" s="10">
        <v>2885.1000000000004</v>
      </c>
    </row>
    <row r="576" spans="1:3" ht="27.95" hidden="1" outlineLevel="1">
      <c r="A576" s="12"/>
      <c r="B576" s="9" t="s">
        <v>1871</v>
      </c>
      <c r="C576" s="10">
        <v>2628.03</v>
      </c>
    </row>
    <row r="577" spans="1:3" hidden="1" outlineLevel="1">
      <c r="A577" s="12"/>
      <c r="B577" s="9" t="s">
        <v>1872</v>
      </c>
      <c r="C577" s="10">
        <v>1460</v>
      </c>
    </row>
    <row r="578" spans="1:3" hidden="1" outlineLevel="1">
      <c r="A578" s="12"/>
      <c r="B578" s="9" t="s">
        <v>1656</v>
      </c>
      <c r="C578" s="10">
        <v>1175.29</v>
      </c>
    </row>
    <row r="579" spans="1:3" hidden="1" outlineLevel="1">
      <c r="A579" s="12"/>
      <c r="B579" s="9" t="s">
        <v>1744</v>
      </c>
      <c r="C579" s="10">
        <v>1041.29</v>
      </c>
    </row>
    <row r="580" spans="1:3" hidden="1" outlineLevel="1">
      <c r="A580" s="12"/>
      <c r="B580" s="9" t="s">
        <v>1873</v>
      </c>
      <c r="C580" s="10">
        <v>934.82</v>
      </c>
    </row>
    <row r="581" spans="1:3" hidden="1" outlineLevel="1">
      <c r="A581" s="12"/>
      <c r="B581" s="9" t="s">
        <v>930</v>
      </c>
      <c r="C581" s="10">
        <v>728.19</v>
      </c>
    </row>
    <row r="582" spans="1:3" hidden="1" outlineLevel="1">
      <c r="A582" s="12"/>
      <c r="B582" s="9" t="s">
        <v>1332</v>
      </c>
      <c r="C582" s="10">
        <v>629.03000000000009</v>
      </c>
    </row>
    <row r="583" spans="1:3" hidden="1" outlineLevel="1">
      <c r="A583" s="12"/>
      <c r="B583" s="9" t="s">
        <v>1331</v>
      </c>
      <c r="C583" s="10">
        <v>536.29</v>
      </c>
    </row>
    <row r="584" spans="1:3" hidden="1" outlineLevel="1">
      <c r="A584" s="12"/>
      <c r="B584" s="9" t="s">
        <v>1562</v>
      </c>
      <c r="C584" s="10">
        <v>509.71</v>
      </c>
    </row>
    <row r="585" spans="1:3" hidden="1" outlineLevel="1">
      <c r="A585" s="12"/>
      <c r="B585" s="9" t="s">
        <v>1874</v>
      </c>
      <c r="C585" s="10">
        <v>425</v>
      </c>
    </row>
    <row r="586" spans="1:3" hidden="1" outlineLevel="1">
      <c r="A586" s="12"/>
      <c r="B586" s="9" t="s">
        <v>1676</v>
      </c>
      <c r="C586" s="10">
        <v>414.73</v>
      </c>
    </row>
    <row r="587" spans="1:3" hidden="1" outlineLevel="1">
      <c r="A587" s="12"/>
      <c r="B587" s="9" t="s">
        <v>1224</v>
      </c>
      <c r="C587" s="10">
        <v>408.45</v>
      </c>
    </row>
    <row r="588" spans="1:3" hidden="1" outlineLevel="1">
      <c r="A588" s="12"/>
      <c r="B588" s="9" t="s">
        <v>1654</v>
      </c>
      <c r="C588" s="10">
        <v>376.06</v>
      </c>
    </row>
    <row r="589" spans="1:3" hidden="1" outlineLevel="1">
      <c r="A589" s="12"/>
      <c r="B589" s="9" t="s">
        <v>1875</v>
      </c>
      <c r="C589" s="10">
        <v>168.01</v>
      </c>
    </row>
    <row r="590" spans="1:3" collapsed="1">
      <c r="A590" s="12"/>
      <c r="B590" s="13"/>
      <c r="C590" s="14">
        <f>SUM(C522:C541)</f>
        <v>6704902.2999999998</v>
      </c>
    </row>
    <row r="591" spans="1:3">
      <c r="A591" s="12"/>
      <c r="B591" s="9"/>
      <c r="C591" s="10"/>
    </row>
    <row r="592" spans="1:3">
      <c r="A592" s="12"/>
      <c r="B592" s="9"/>
      <c r="C592" s="10"/>
    </row>
    <row r="593" spans="1:3" ht="27.95">
      <c r="A593" s="49" t="s">
        <v>13</v>
      </c>
      <c r="B593" s="9" t="s">
        <v>1876</v>
      </c>
      <c r="C593" s="10">
        <v>1138477.3400000001</v>
      </c>
    </row>
    <row r="594" spans="1:3">
      <c r="A594" s="49"/>
      <c r="B594" s="9" t="s">
        <v>1877</v>
      </c>
      <c r="C594" s="10">
        <v>465941.91</v>
      </c>
    </row>
    <row r="595" spans="1:3">
      <c r="A595" s="49"/>
      <c r="B595" s="9" t="s">
        <v>1269</v>
      </c>
      <c r="C595" s="10">
        <v>372424.02999999997</v>
      </c>
    </row>
    <row r="596" spans="1:3" ht="27.95">
      <c r="A596" s="49"/>
      <c r="B596" s="9" t="s">
        <v>1793</v>
      </c>
      <c r="C596" s="10">
        <v>310000</v>
      </c>
    </row>
    <row r="597" spans="1:3">
      <c r="A597" s="49"/>
      <c r="B597" s="9" t="s">
        <v>1010</v>
      </c>
      <c r="C597" s="10">
        <v>292870.85000000003</v>
      </c>
    </row>
    <row r="598" spans="1:3" ht="27.95">
      <c r="A598" s="49"/>
      <c r="B598" s="9" t="s">
        <v>892</v>
      </c>
      <c r="C598" s="10">
        <v>224285.45999999996</v>
      </c>
    </row>
    <row r="599" spans="1:3" ht="27.95">
      <c r="A599" s="49"/>
      <c r="B599" s="9" t="s">
        <v>1878</v>
      </c>
      <c r="C599" s="10">
        <v>223433.21</v>
      </c>
    </row>
    <row r="600" spans="1:3" ht="27.95">
      <c r="A600" s="49"/>
      <c r="B600" s="9" t="s">
        <v>1475</v>
      </c>
      <c r="C600" s="10">
        <v>187149.36000000002</v>
      </c>
    </row>
    <row r="601" spans="1:3">
      <c r="A601" s="49"/>
      <c r="B601" s="9" t="s">
        <v>871</v>
      </c>
      <c r="C601" s="10">
        <v>181943.88999999998</v>
      </c>
    </row>
    <row r="602" spans="1:3">
      <c r="A602" s="49"/>
      <c r="B602" s="9" t="s">
        <v>1879</v>
      </c>
      <c r="C602" s="10">
        <v>169514.28000000003</v>
      </c>
    </row>
    <row r="603" spans="1:3" ht="27.95">
      <c r="A603" s="49"/>
      <c r="B603" s="9" t="s">
        <v>1474</v>
      </c>
      <c r="C603" s="10">
        <v>97207.89</v>
      </c>
    </row>
    <row r="604" spans="1:3">
      <c r="A604" s="49"/>
      <c r="B604" s="9" t="s">
        <v>1647</v>
      </c>
      <c r="C604" s="10">
        <v>94352.239999999991</v>
      </c>
    </row>
    <row r="605" spans="1:3">
      <c r="A605" s="49"/>
      <c r="B605" s="9" t="s">
        <v>1667</v>
      </c>
      <c r="C605" s="10">
        <v>86173.91</v>
      </c>
    </row>
    <row r="606" spans="1:3">
      <c r="A606" s="49"/>
      <c r="B606" s="9" t="s">
        <v>1254</v>
      </c>
      <c r="C606" s="10">
        <v>79681.919999999998</v>
      </c>
    </row>
    <row r="607" spans="1:3" ht="27.95">
      <c r="A607" s="49"/>
      <c r="B607" s="9" t="s">
        <v>1446</v>
      </c>
      <c r="C607" s="10">
        <v>78507.81</v>
      </c>
    </row>
    <row r="608" spans="1:3" ht="42">
      <c r="A608" s="49"/>
      <c r="B608" s="9" t="s">
        <v>1487</v>
      </c>
      <c r="C608" s="10">
        <v>76787.740000000005</v>
      </c>
    </row>
    <row r="609" spans="1:3" ht="27.95">
      <c r="A609" s="49"/>
      <c r="B609" s="9" t="s">
        <v>1880</v>
      </c>
      <c r="C609" s="10">
        <v>74601.279999999999</v>
      </c>
    </row>
    <row r="610" spans="1:3" ht="27.95">
      <c r="A610" s="49"/>
      <c r="B610" s="9" t="s">
        <v>984</v>
      </c>
      <c r="C610" s="10">
        <v>72000</v>
      </c>
    </row>
    <row r="611" spans="1:3">
      <c r="A611" s="49"/>
      <c r="B611" s="9" t="s">
        <v>1287</v>
      </c>
      <c r="C611" s="10">
        <v>62333.520000000004</v>
      </c>
    </row>
    <row r="612" spans="1:3" ht="27.95">
      <c r="A612" s="49"/>
      <c r="B612" s="9" t="s">
        <v>1881</v>
      </c>
      <c r="C612" s="10">
        <v>58998.91</v>
      </c>
    </row>
    <row r="613" spans="1:3" hidden="1" outlineLevel="1">
      <c r="A613" s="12"/>
      <c r="B613" s="9" t="s">
        <v>1882</v>
      </c>
      <c r="C613" s="10">
        <v>52000</v>
      </c>
    </row>
    <row r="614" spans="1:3" hidden="1" outlineLevel="1">
      <c r="A614" s="12"/>
      <c r="B614" s="9" t="s">
        <v>1500</v>
      </c>
      <c r="C614" s="10">
        <v>47003.869999999995</v>
      </c>
    </row>
    <row r="615" spans="1:3" hidden="1" outlineLevel="1">
      <c r="A615" s="12"/>
      <c r="B615" s="9" t="s">
        <v>1721</v>
      </c>
      <c r="C615" s="10">
        <v>46219.34</v>
      </c>
    </row>
    <row r="616" spans="1:3" hidden="1" outlineLevel="1">
      <c r="A616" s="12"/>
      <c r="B616" s="9" t="s">
        <v>1485</v>
      </c>
      <c r="C616" s="10">
        <v>39803.019999999997</v>
      </c>
    </row>
    <row r="617" spans="1:3" hidden="1" outlineLevel="1">
      <c r="A617" s="12"/>
      <c r="B617" s="9" t="s">
        <v>881</v>
      </c>
      <c r="C617" s="10">
        <v>37778.979999999996</v>
      </c>
    </row>
    <row r="618" spans="1:3" hidden="1" outlineLevel="1">
      <c r="A618" s="12"/>
      <c r="B618" s="9" t="s">
        <v>995</v>
      </c>
      <c r="C618" s="10">
        <v>34933.040000000001</v>
      </c>
    </row>
    <row r="619" spans="1:3" ht="27.95" hidden="1" outlineLevel="1">
      <c r="A619" s="12"/>
      <c r="B619" s="9" t="s">
        <v>1436</v>
      </c>
      <c r="C619" s="10">
        <v>32765.25</v>
      </c>
    </row>
    <row r="620" spans="1:3" hidden="1" outlineLevel="1">
      <c r="A620" s="12"/>
      <c r="B620" s="9" t="s">
        <v>889</v>
      </c>
      <c r="C620" s="10">
        <v>28000</v>
      </c>
    </row>
    <row r="621" spans="1:3" hidden="1" outlineLevel="1">
      <c r="A621" s="12"/>
      <c r="B621" s="9" t="s">
        <v>866</v>
      </c>
      <c r="C621" s="10">
        <v>27779.23</v>
      </c>
    </row>
    <row r="622" spans="1:3" hidden="1" outlineLevel="1">
      <c r="A622" s="12"/>
      <c r="B622" s="9" t="s">
        <v>976</v>
      </c>
      <c r="C622" s="10">
        <v>24862.44</v>
      </c>
    </row>
    <row r="623" spans="1:3" hidden="1" outlineLevel="1">
      <c r="A623" s="12"/>
      <c r="B623" s="9" t="s">
        <v>917</v>
      </c>
      <c r="C623" s="10">
        <v>20422.710000000003</v>
      </c>
    </row>
    <row r="624" spans="1:3" hidden="1" outlineLevel="1">
      <c r="A624" s="12"/>
      <c r="B624" s="9" t="s">
        <v>1671</v>
      </c>
      <c r="C624" s="10">
        <v>20340.12</v>
      </c>
    </row>
    <row r="625" spans="1:3" hidden="1" outlineLevel="1">
      <c r="A625" s="12"/>
      <c r="B625" s="9" t="s">
        <v>1307</v>
      </c>
      <c r="C625" s="10">
        <v>20306.61</v>
      </c>
    </row>
    <row r="626" spans="1:3" ht="27.95" hidden="1" outlineLevel="1">
      <c r="A626" s="12"/>
      <c r="B626" s="9" t="s">
        <v>1883</v>
      </c>
      <c r="C626" s="10">
        <v>15250.18</v>
      </c>
    </row>
    <row r="627" spans="1:3" hidden="1" outlineLevel="1">
      <c r="A627" s="12"/>
      <c r="B627" s="9" t="s">
        <v>1510</v>
      </c>
      <c r="C627" s="10">
        <v>13065.869999999999</v>
      </c>
    </row>
    <row r="628" spans="1:3" hidden="1" outlineLevel="1">
      <c r="A628" s="12"/>
      <c r="B628" s="9" t="s">
        <v>910</v>
      </c>
      <c r="C628" s="10">
        <v>12928.47</v>
      </c>
    </row>
    <row r="629" spans="1:3" ht="27.95" hidden="1" outlineLevel="1">
      <c r="A629" s="12"/>
      <c r="B629" s="9" t="s">
        <v>909</v>
      </c>
      <c r="C629" s="10">
        <v>9566.2099999999991</v>
      </c>
    </row>
    <row r="630" spans="1:3" hidden="1" outlineLevel="1">
      <c r="A630" s="12"/>
      <c r="B630" s="9" t="s">
        <v>1884</v>
      </c>
      <c r="C630" s="10">
        <v>8275.02</v>
      </c>
    </row>
    <row r="631" spans="1:3" ht="27.95" hidden="1" outlineLevel="1">
      <c r="A631" s="12"/>
      <c r="B631" s="9" t="s">
        <v>1885</v>
      </c>
      <c r="C631" s="10">
        <v>8124.02</v>
      </c>
    </row>
    <row r="632" spans="1:3" hidden="1" outlineLevel="1">
      <c r="A632" s="12"/>
      <c r="B632" s="9" t="s">
        <v>1393</v>
      </c>
      <c r="C632" s="10">
        <v>7899.73</v>
      </c>
    </row>
    <row r="633" spans="1:3" hidden="1" outlineLevel="1">
      <c r="A633" s="12"/>
      <c r="B633" s="9" t="s">
        <v>1834</v>
      </c>
      <c r="C633" s="10">
        <v>7734.92</v>
      </c>
    </row>
    <row r="634" spans="1:3" hidden="1" outlineLevel="1">
      <c r="A634" s="12"/>
      <c r="B634" s="9" t="s">
        <v>1605</v>
      </c>
      <c r="C634" s="10">
        <v>7500</v>
      </c>
    </row>
    <row r="635" spans="1:3" hidden="1" outlineLevel="1">
      <c r="A635" s="12"/>
      <c r="B635" s="9" t="s">
        <v>1030</v>
      </c>
      <c r="C635" s="10">
        <v>6665.28</v>
      </c>
    </row>
    <row r="636" spans="1:3" hidden="1" outlineLevel="1">
      <c r="A636" s="12"/>
      <c r="B636" s="9" t="s">
        <v>930</v>
      </c>
      <c r="C636" s="10">
        <v>6553.7</v>
      </c>
    </row>
    <row r="637" spans="1:3" ht="27.95" hidden="1" outlineLevel="1">
      <c r="A637" s="12"/>
      <c r="B637" s="9" t="s">
        <v>1526</v>
      </c>
      <c r="C637" s="10">
        <v>6306.51</v>
      </c>
    </row>
    <row r="638" spans="1:3" hidden="1" outlineLevel="1">
      <c r="A638" s="12"/>
      <c r="B638" s="9" t="s">
        <v>1527</v>
      </c>
      <c r="C638" s="10">
        <v>6240.79</v>
      </c>
    </row>
    <row r="639" spans="1:3" hidden="1" outlineLevel="1">
      <c r="A639" s="12"/>
      <c r="B639" s="9" t="s">
        <v>1886</v>
      </c>
      <c r="C639" s="10">
        <v>5757.57</v>
      </c>
    </row>
    <row r="640" spans="1:3" hidden="1" outlineLevel="1">
      <c r="A640" s="12"/>
      <c r="B640" s="9" t="s">
        <v>1887</v>
      </c>
      <c r="C640" s="10">
        <v>3877.91</v>
      </c>
    </row>
    <row r="641" spans="1:3" hidden="1" outlineLevel="1">
      <c r="A641" s="12"/>
      <c r="B641" s="9" t="s">
        <v>1639</v>
      </c>
      <c r="C641" s="10">
        <v>3774.78</v>
      </c>
    </row>
    <row r="642" spans="1:3" hidden="1" outlineLevel="1">
      <c r="A642" s="12"/>
      <c r="B642" s="9" t="s">
        <v>1562</v>
      </c>
      <c r="C642" s="10">
        <v>3440.55</v>
      </c>
    </row>
    <row r="643" spans="1:3" ht="27.95" hidden="1" outlineLevel="1">
      <c r="A643" s="12"/>
      <c r="B643" s="9" t="s">
        <v>1523</v>
      </c>
      <c r="C643" s="10">
        <v>3435.91</v>
      </c>
    </row>
    <row r="644" spans="1:3" hidden="1" outlineLevel="1">
      <c r="A644" s="12"/>
      <c r="B644" s="9" t="s">
        <v>1156</v>
      </c>
      <c r="C644" s="10">
        <v>3231.7599999999998</v>
      </c>
    </row>
    <row r="645" spans="1:3" hidden="1" outlineLevel="1">
      <c r="A645" s="12"/>
      <c r="B645" s="9" t="s">
        <v>1464</v>
      </c>
      <c r="C645" s="10">
        <v>3050.58</v>
      </c>
    </row>
    <row r="646" spans="1:3" hidden="1" outlineLevel="1">
      <c r="A646" s="12"/>
      <c r="B646" s="9" t="s">
        <v>890</v>
      </c>
      <c r="C646" s="10">
        <v>2535.4899999999998</v>
      </c>
    </row>
    <row r="647" spans="1:3" hidden="1" outlineLevel="1">
      <c r="A647" s="12"/>
      <c r="B647" s="9" t="s">
        <v>925</v>
      </c>
      <c r="C647" s="10">
        <v>2203.8200000000002</v>
      </c>
    </row>
    <row r="648" spans="1:3" hidden="1" outlineLevel="1">
      <c r="A648" s="12"/>
      <c r="B648" s="9" t="s">
        <v>922</v>
      </c>
      <c r="C648" s="10">
        <v>2131.4299999999998</v>
      </c>
    </row>
    <row r="649" spans="1:3" hidden="1" outlineLevel="1">
      <c r="A649" s="12"/>
      <c r="B649" s="9" t="s">
        <v>1888</v>
      </c>
      <c r="C649" s="10">
        <v>2000</v>
      </c>
    </row>
    <row r="650" spans="1:3" hidden="1" outlineLevel="1">
      <c r="A650" s="12"/>
      <c r="B650" s="9" t="s">
        <v>942</v>
      </c>
      <c r="C650" s="10">
        <v>1947.38</v>
      </c>
    </row>
    <row r="651" spans="1:3" hidden="1" outlineLevel="1">
      <c r="A651" s="12"/>
      <c r="B651" s="9" t="s">
        <v>1323</v>
      </c>
      <c r="C651" s="10">
        <v>1816.26</v>
      </c>
    </row>
    <row r="652" spans="1:3" hidden="1" outlineLevel="1">
      <c r="A652" s="12"/>
      <c r="B652" s="9" t="s">
        <v>1504</v>
      </c>
      <c r="C652" s="10">
        <v>1792.98</v>
      </c>
    </row>
    <row r="653" spans="1:3" hidden="1" outlineLevel="1">
      <c r="A653" s="12"/>
      <c r="B653" s="9" t="s">
        <v>1889</v>
      </c>
      <c r="C653" s="10">
        <v>1666.67</v>
      </c>
    </row>
    <row r="654" spans="1:3" hidden="1" outlineLevel="1">
      <c r="A654" s="12"/>
      <c r="B654" s="9" t="s">
        <v>1551</v>
      </c>
      <c r="C654" s="10">
        <v>1640.72</v>
      </c>
    </row>
    <row r="655" spans="1:3" hidden="1" outlineLevel="1">
      <c r="A655" s="12"/>
      <c r="B655" s="9" t="s">
        <v>932</v>
      </c>
      <c r="C655" s="10">
        <v>1629.05</v>
      </c>
    </row>
    <row r="656" spans="1:3" hidden="1" outlineLevel="1">
      <c r="A656" s="12"/>
      <c r="B656" s="9" t="s">
        <v>1642</v>
      </c>
      <c r="C656" s="10">
        <v>1627.61</v>
      </c>
    </row>
    <row r="657" spans="1:3" hidden="1" outlineLevel="1">
      <c r="A657" s="12"/>
      <c r="B657" s="9" t="s">
        <v>1890</v>
      </c>
      <c r="C657" s="10">
        <v>1600</v>
      </c>
    </row>
    <row r="658" spans="1:3" hidden="1" outlineLevel="1">
      <c r="A658" s="12"/>
      <c r="B658" s="9" t="s">
        <v>919</v>
      </c>
      <c r="C658" s="10">
        <v>1584.21</v>
      </c>
    </row>
    <row r="659" spans="1:3" hidden="1" outlineLevel="1">
      <c r="A659" s="12"/>
      <c r="B659" s="9" t="s">
        <v>1769</v>
      </c>
      <c r="C659" s="10">
        <v>1537.95</v>
      </c>
    </row>
    <row r="660" spans="1:3" hidden="1" outlineLevel="1">
      <c r="A660" s="12"/>
      <c r="B660" s="9" t="s">
        <v>926</v>
      </c>
      <c r="C660" s="10">
        <v>1400</v>
      </c>
    </row>
    <row r="661" spans="1:3" hidden="1" outlineLevel="1">
      <c r="A661" s="12"/>
      <c r="B661" s="9" t="s">
        <v>1040</v>
      </c>
      <c r="C661" s="10">
        <v>959.2</v>
      </c>
    </row>
    <row r="662" spans="1:3" hidden="1" outlineLevel="1">
      <c r="A662" s="12"/>
      <c r="B662" s="9" t="s">
        <v>1544</v>
      </c>
      <c r="C662" s="10">
        <v>874.67</v>
      </c>
    </row>
    <row r="663" spans="1:3" hidden="1" outlineLevel="1">
      <c r="A663" s="12"/>
      <c r="B663" s="9" t="s">
        <v>1737</v>
      </c>
      <c r="C663" s="10">
        <v>849.93</v>
      </c>
    </row>
    <row r="664" spans="1:3" hidden="1" outlineLevel="1">
      <c r="A664" s="12"/>
      <c r="B664" s="9" t="s">
        <v>1891</v>
      </c>
      <c r="C664" s="10">
        <v>845.58</v>
      </c>
    </row>
    <row r="665" spans="1:3" hidden="1" outlineLevel="1">
      <c r="A665" s="12"/>
      <c r="B665" s="9" t="s">
        <v>1532</v>
      </c>
      <c r="C665" s="10">
        <v>800</v>
      </c>
    </row>
    <row r="666" spans="1:3" hidden="1" outlineLevel="1">
      <c r="A666" s="12"/>
      <c r="B666" s="9" t="s">
        <v>1892</v>
      </c>
      <c r="C666" s="10">
        <v>776.58</v>
      </c>
    </row>
    <row r="667" spans="1:3" hidden="1" outlineLevel="1">
      <c r="A667" s="12"/>
      <c r="B667" s="9" t="s">
        <v>918</v>
      </c>
      <c r="C667" s="10">
        <v>691.89</v>
      </c>
    </row>
    <row r="668" spans="1:3" hidden="1" outlineLevel="1">
      <c r="A668" s="12"/>
      <c r="B668" s="9" t="s">
        <v>920</v>
      </c>
      <c r="C668" s="10">
        <v>630</v>
      </c>
    </row>
    <row r="669" spans="1:3" hidden="1" outlineLevel="1">
      <c r="A669" s="12"/>
      <c r="B669" s="9" t="s">
        <v>1558</v>
      </c>
      <c r="C669" s="10">
        <v>581.52</v>
      </c>
    </row>
    <row r="670" spans="1:3" hidden="1" outlineLevel="1">
      <c r="A670" s="12"/>
      <c r="B670" s="9" t="s">
        <v>1311</v>
      </c>
      <c r="C670" s="10">
        <v>546.15</v>
      </c>
    </row>
    <row r="671" spans="1:3" hidden="1" outlineLevel="1">
      <c r="A671" s="12"/>
      <c r="B671" s="9" t="s">
        <v>1565</v>
      </c>
      <c r="C671" s="10">
        <v>513.47</v>
      </c>
    </row>
    <row r="672" spans="1:3" hidden="1" outlineLevel="1">
      <c r="A672" s="12"/>
      <c r="B672" s="9" t="s">
        <v>1893</v>
      </c>
      <c r="C672" s="10">
        <v>493.55</v>
      </c>
    </row>
    <row r="673" spans="1:3" hidden="1" outlineLevel="1">
      <c r="A673" s="12"/>
      <c r="B673" s="9" t="s">
        <v>1141</v>
      </c>
      <c r="C673" s="10">
        <v>481.42</v>
      </c>
    </row>
    <row r="674" spans="1:3" hidden="1" outlineLevel="1">
      <c r="A674" s="12"/>
      <c r="B674" s="9" t="s">
        <v>1332</v>
      </c>
      <c r="C674" s="10">
        <v>419.35</v>
      </c>
    </row>
    <row r="675" spans="1:3" hidden="1" outlineLevel="1">
      <c r="A675" s="12"/>
      <c r="B675" s="9" t="s">
        <v>1224</v>
      </c>
      <c r="C675" s="10">
        <v>408.45</v>
      </c>
    </row>
    <row r="676" spans="1:3" hidden="1" outlineLevel="1">
      <c r="A676" s="12"/>
      <c r="B676" s="9" t="s">
        <v>929</v>
      </c>
      <c r="C676" s="10">
        <v>398.98</v>
      </c>
    </row>
    <row r="677" spans="1:3" hidden="1" outlineLevel="1">
      <c r="A677" s="12"/>
      <c r="B677" s="9" t="s">
        <v>1569</v>
      </c>
      <c r="C677" s="10">
        <v>381.25</v>
      </c>
    </row>
    <row r="678" spans="1:3" hidden="1" outlineLevel="1">
      <c r="A678" s="12"/>
      <c r="B678" s="9" t="s">
        <v>1654</v>
      </c>
      <c r="C678" s="10">
        <v>376.06</v>
      </c>
    </row>
    <row r="679" spans="1:3" hidden="1" outlineLevel="1">
      <c r="A679" s="12"/>
      <c r="B679" s="9" t="s">
        <v>1894</v>
      </c>
      <c r="C679" s="10">
        <v>225</v>
      </c>
    </row>
    <row r="680" spans="1:3" hidden="1" outlineLevel="1">
      <c r="A680" s="12"/>
      <c r="B680" s="9" t="s">
        <v>1659</v>
      </c>
      <c r="C680" s="10">
        <v>160</v>
      </c>
    </row>
    <row r="681" spans="1:3" hidden="1" outlineLevel="1">
      <c r="A681" s="12"/>
      <c r="B681" s="9" t="s">
        <v>1648</v>
      </c>
      <c r="C681" s="10">
        <v>150</v>
      </c>
    </row>
    <row r="682" spans="1:3" hidden="1" outlineLevel="1">
      <c r="A682" s="12"/>
      <c r="B682" s="9" t="s">
        <v>1895</v>
      </c>
      <c r="C682" s="10">
        <v>124.46</v>
      </c>
    </row>
    <row r="683" spans="1:3" ht="27.95" hidden="1" outlineLevel="1">
      <c r="A683" s="12"/>
      <c r="B683" s="9" t="s">
        <v>1896</v>
      </c>
      <c r="C683" s="10">
        <v>0</v>
      </c>
    </row>
    <row r="684" spans="1:3" ht="27.95" hidden="1" outlineLevel="1">
      <c r="A684" s="12"/>
      <c r="B684" s="9" t="s">
        <v>1897</v>
      </c>
      <c r="C684" s="10">
        <v>0</v>
      </c>
    </row>
    <row r="685" spans="1:3" ht="27.95" hidden="1" outlineLevel="1">
      <c r="A685" s="12"/>
      <c r="B685" s="9" t="s">
        <v>1898</v>
      </c>
      <c r="C685" s="10">
        <v>0</v>
      </c>
    </row>
    <row r="686" spans="1:3" ht="27.95" hidden="1" outlineLevel="1">
      <c r="A686" s="12"/>
      <c r="B686" s="9" t="s">
        <v>1899</v>
      </c>
      <c r="C686" s="10">
        <v>0</v>
      </c>
    </row>
    <row r="687" spans="1:3" hidden="1" outlineLevel="1">
      <c r="A687" s="12"/>
      <c r="B687" s="9" t="s">
        <v>1900</v>
      </c>
      <c r="C687" s="10">
        <v>0</v>
      </c>
    </row>
    <row r="688" spans="1:3" collapsed="1">
      <c r="A688" s="12"/>
      <c r="B688" s="13"/>
      <c r="C688" s="14">
        <f>SUM(C593:C612)</f>
        <v>4346685.55</v>
      </c>
    </row>
    <row r="689" spans="1:5">
      <c r="A689" s="12"/>
      <c r="B689" s="9"/>
      <c r="C689" s="10"/>
    </row>
    <row r="690" spans="1:5">
      <c r="A690" s="12"/>
      <c r="B690" s="9"/>
      <c r="C690" s="10"/>
    </row>
    <row r="691" spans="1:5" ht="28.5" customHeight="1">
      <c r="A691" s="49" t="s">
        <v>7</v>
      </c>
      <c r="B691" s="16" t="s">
        <v>1901</v>
      </c>
      <c r="C691" s="15">
        <v>2561335.65</v>
      </c>
      <c r="D691" s="8"/>
      <c r="E691" s="8"/>
    </row>
    <row r="692" spans="1:5" ht="27.95">
      <c r="A692" s="49"/>
      <c r="B692" s="16" t="s">
        <v>1902</v>
      </c>
      <c r="C692" s="15">
        <v>1103079.6499999999</v>
      </c>
      <c r="D692" s="8"/>
      <c r="E692" s="8"/>
    </row>
    <row r="693" spans="1:5">
      <c r="A693" s="49"/>
      <c r="B693" s="16" t="s">
        <v>1903</v>
      </c>
      <c r="C693" s="15">
        <v>688260.74</v>
      </c>
      <c r="D693" s="8"/>
      <c r="E693" s="8"/>
    </row>
    <row r="694" spans="1:5">
      <c r="A694" s="49"/>
      <c r="B694" s="16" t="s">
        <v>1904</v>
      </c>
      <c r="C694" s="15">
        <v>318425.14</v>
      </c>
      <c r="D694" s="8"/>
      <c r="E694" s="8"/>
    </row>
    <row r="695" spans="1:5" ht="27.95">
      <c r="A695" s="49"/>
      <c r="B695" s="16" t="s">
        <v>1905</v>
      </c>
      <c r="C695" s="15">
        <v>248049.36</v>
      </c>
      <c r="D695" s="8"/>
      <c r="E695" s="8"/>
    </row>
    <row r="696" spans="1:5" ht="27.95">
      <c r="A696" s="49"/>
      <c r="B696" s="16" t="s">
        <v>1446</v>
      </c>
      <c r="C696" s="15">
        <v>207209.12</v>
      </c>
      <c r="D696" s="8"/>
      <c r="E696" s="8"/>
    </row>
    <row r="697" spans="1:5">
      <c r="A697" s="49"/>
      <c r="B697" s="16" t="s">
        <v>1906</v>
      </c>
      <c r="C697" s="15">
        <v>151665.65</v>
      </c>
      <c r="D697" s="8"/>
      <c r="E697" s="8"/>
    </row>
    <row r="698" spans="1:5">
      <c r="A698" s="49"/>
      <c r="B698" s="16" t="s">
        <v>1208</v>
      </c>
      <c r="C698" s="15">
        <v>96000</v>
      </c>
      <c r="D698" s="8"/>
      <c r="E698" s="8"/>
    </row>
    <row r="699" spans="1:5" ht="27.95">
      <c r="A699" s="49"/>
      <c r="B699" s="16" t="s">
        <v>1907</v>
      </c>
      <c r="C699" s="15">
        <v>94605.6</v>
      </c>
      <c r="D699" s="8"/>
      <c r="E699" s="8"/>
    </row>
    <row r="700" spans="1:5">
      <c r="A700" s="49"/>
      <c r="B700" s="16" t="s">
        <v>910</v>
      </c>
      <c r="C700" s="15">
        <v>92109.049999999988</v>
      </c>
      <c r="D700" s="8"/>
      <c r="E700" s="8"/>
    </row>
    <row r="701" spans="1:5" ht="27.95">
      <c r="A701" s="49"/>
      <c r="B701" s="16" t="s">
        <v>1908</v>
      </c>
      <c r="C701" s="15">
        <v>72022.77</v>
      </c>
      <c r="D701" s="8"/>
      <c r="E701" s="8"/>
    </row>
    <row r="702" spans="1:5" ht="27.95">
      <c r="A702" s="49"/>
      <c r="B702" s="16" t="s">
        <v>1909</v>
      </c>
      <c r="C702" s="15">
        <v>59247.41</v>
      </c>
      <c r="D702" s="8"/>
      <c r="E702" s="8"/>
    </row>
    <row r="703" spans="1:5" ht="27.95">
      <c r="A703" s="49"/>
      <c r="B703" s="16" t="s">
        <v>1910</v>
      </c>
      <c r="C703" s="15">
        <v>48329.98</v>
      </c>
      <c r="D703" s="8"/>
      <c r="E703" s="8"/>
    </row>
    <row r="704" spans="1:5" ht="27.95">
      <c r="A704" s="49"/>
      <c r="B704" s="16" t="s">
        <v>1911</v>
      </c>
      <c r="C704" s="15">
        <v>45855.17</v>
      </c>
      <c r="D704" s="8"/>
      <c r="E704" s="8"/>
    </row>
    <row r="705" spans="1:5">
      <c r="A705" s="49"/>
      <c r="B705" s="16" t="s">
        <v>1647</v>
      </c>
      <c r="C705" s="15">
        <v>29600.7</v>
      </c>
      <c r="D705" s="8"/>
      <c r="E705" s="8"/>
    </row>
    <row r="706" spans="1:5" ht="27.95">
      <c r="A706" s="49"/>
      <c r="B706" s="16" t="s">
        <v>1912</v>
      </c>
      <c r="C706" s="15">
        <v>29412.84</v>
      </c>
      <c r="D706" s="8"/>
      <c r="E706" s="8"/>
    </row>
    <row r="707" spans="1:5">
      <c r="A707" s="49"/>
      <c r="B707" s="16" t="s">
        <v>1913</v>
      </c>
      <c r="C707" s="15">
        <v>27787.24</v>
      </c>
      <c r="D707" s="8"/>
      <c r="E707" s="8"/>
    </row>
    <row r="708" spans="1:5">
      <c r="A708" s="49"/>
      <c r="B708" s="16" t="s">
        <v>1018</v>
      </c>
      <c r="C708" s="15">
        <v>19000</v>
      </c>
      <c r="D708" s="8"/>
      <c r="E708" s="8"/>
    </row>
    <row r="709" spans="1:5">
      <c r="A709" s="49"/>
      <c r="B709" s="16" t="s">
        <v>1914</v>
      </c>
      <c r="C709" s="15">
        <v>18500.439999999999</v>
      </c>
      <c r="D709" s="8"/>
      <c r="E709" s="8"/>
    </row>
    <row r="710" spans="1:5" ht="27.95">
      <c r="A710" s="49"/>
      <c r="B710" s="16" t="s">
        <v>1915</v>
      </c>
      <c r="C710" s="15">
        <v>17979.41</v>
      </c>
      <c r="D710" s="8"/>
      <c r="E710" s="8"/>
    </row>
    <row r="711" spans="1:5" hidden="1" outlineLevel="1">
      <c r="A711" s="12"/>
      <c r="B711" s="16" t="s">
        <v>1916</v>
      </c>
      <c r="C711" s="15">
        <v>15432</v>
      </c>
      <c r="D711" s="8"/>
      <c r="E711" s="8"/>
    </row>
    <row r="712" spans="1:5" hidden="1" outlineLevel="1">
      <c r="A712" s="12"/>
      <c r="B712" s="16" t="s">
        <v>1025</v>
      </c>
      <c r="C712" s="15">
        <v>9923.24</v>
      </c>
      <c r="D712" s="8"/>
      <c r="E712" s="8"/>
    </row>
    <row r="713" spans="1:5" ht="27.95" hidden="1" outlineLevel="1">
      <c r="A713" s="12"/>
      <c r="B713" s="16" t="s">
        <v>1108</v>
      </c>
      <c r="C713" s="15">
        <v>9317.32</v>
      </c>
      <c r="D713" s="8"/>
      <c r="E713" s="8"/>
    </row>
    <row r="714" spans="1:5" ht="27.95" hidden="1" outlineLevel="1">
      <c r="A714" s="12"/>
      <c r="B714" s="16" t="s">
        <v>1917</v>
      </c>
      <c r="C714" s="15">
        <v>8750.0300000000007</v>
      </c>
      <c r="D714" s="8"/>
      <c r="E714" s="8"/>
    </row>
    <row r="715" spans="1:5" hidden="1" outlineLevel="1">
      <c r="A715" s="12"/>
      <c r="B715" s="16" t="s">
        <v>930</v>
      </c>
      <c r="C715" s="15">
        <v>8010.0499999999993</v>
      </c>
      <c r="D715" s="8"/>
      <c r="E715" s="8"/>
    </row>
    <row r="716" spans="1:5" hidden="1" outlineLevel="1">
      <c r="A716" s="12"/>
      <c r="B716" s="16" t="s">
        <v>925</v>
      </c>
      <c r="C716" s="15">
        <v>2130.9499999999998</v>
      </c>
      <c r="D716" s="8"/>
      <c r="E716" s="8"/>
    </row>
    <row r="717" spans="1:5" ht="27.95" hidden="1" outlineLevel="1">
      <c r="A717" s="12"/>
      <c r="B717" s="16" t="s">
        <v>1918</v>
      </c>
      <c r="C717" s="15">
        <v>1058.83</v>
      </c>
      <c r="D717" s="8"/>
      <c r="E717" s="8"/>
    </row>
    <row r="718" spans="1:5" ht="27.95" hidden="1" outlineLevel="1">
      <c r="A718" s="12"/>
      <c r="B718" s="16" t="s">
        <v>1042</v>
      </c>
      <c r="C718" s="15">
        <v>887.74</v>
      </c>
      <c r="D718" s="8"/>
      <c r="E718" s="8"/>
    </row>
    <row r="719" spans="1:5" hidden="1" outlineLevel="1">
      <c r="A719" s="12"/>
      <c r="B719" s="16" t="s">
        <v>1155</v>
      </c>
      <c r="C719" s="15">
        <v>705.83</v>
      </c>
      <c r="D719" s="8"/>
      <c r="E719" s="8"/>
    </row>
    <row r="720" spans="1:5" hidden="1" outlineLevel="1">
      <c r="A720" s="12"/>
      <c r="B720" s="16" t="s">
        <v>1919</v>
      </c>
      <c r="C720" s="15">
        <v>261.89</v>
      </c>
      <c r="D720" s="8"/>
      <c r="E720" s="8"/>
    </row>
    <row r="721" spans="1:5" hidden="1" outlineLevel="1">
      <c r="A721" s="12"/>
      <c r="B721" s="16" t="s">
        <v>1834</v>
      </c>
      <c r="C721" s="15">
        <v>0</v>
      </c>
      <c r="D721" s="8"/>
      <c r="E721" s="8"/>
    </row>
    <row r="722" spans="1:5" ht="27.95" hidden="1" outlineLevel="1">
      <c r="A722" s="12"/>
      <c r="B722" s="16" t="s">
        <v>1920</v>
      </c>
      <c r="C722" s="15">
        <v>0</v>
      </c>
      <c r="D722" s="8"/>
      <c r="E722" s="8"/>
    </row>
    <row r="723" spans="1:5" ht="27.95" hidden="1" outlineLevel="1">
      <c r="A723" s="12"/>
      <c r="B723" s="16" t="s">
        <v>1921</v>
      </c>
      <c r="C723" s="15">
        <v>0</v>
      </c>
      <c r="D723" s="8"/>
      <c r="E723" s="8"/>
    </row>
    <row r="724" spans="1:5" ht="27.95" hidden="1" outlineLevel="1">
      <c r="A724" s="12"/>
      <c r="B724" s="16" t="s">
        <v>1922</v>
      </c>
      <c r="C724" s="15">
        <v>0</v>
      </c>
      <c r="D724" s="8"/>
      <c r="E724" s="8"/>
    </row>
    <row r="725" spans="1:5" ht="27.95" hidden="1" outlineLevel="1">
      <c r="A725" s="12"/>
      <c r="B725" s="16" t="s">
        <v>1923</v>
      </c>
      <c r="C725" s="15">
        <v>0</v>
      </c>
      <c r="D725" s="8"/>
      <c r="E725" s="8"/>
    </row>
    <row r="726" spans="1:5" ht="27.95" hidden="1" outlineLevel="1">
      <c r="A726" s="12"/>
      <c r="B726" s="16" t="s">
        <v>1924</v>
      </c>
      <c r="C726" s="15">
        <v>0</v>
      </c>
      <c r="D726" s="8"/>
      <c r="E726" s="8"/>
    </row>
    <row r="727" spans="1:5" ht="27.95" hidden="1" outlineLevel="1">
      <c r="A727" s="12"/>
      <c r="B727" s="16" t="s">
        <v>1925</v>
      </c>
      <c r="C727" s="15">
        <v>0</v>
      </c>
      <c r="D727" s="8"/>
      <c r="E727" s="8"/>
    </row>
    <row r="728" spans="1:5" ht="27.95" hidden="1" outlineLevel="1">
      <c r="A728" s="12"/>
      <c r="B728" s="16" t="s">
        <v>1926</v>
      </c>
      <c r="C728" s="15">
        <v>0</v>
      </c>
      <c r="D728" s="8"/>
      <c r="E728" s="8"/>
    </row>
    <row r="729" spans="1:5" ht="27.95" hidden="1" outlineLevel="1">
      <c r="A729" s="12"/>
      <c r="B729" s="16" t="s">
        <v>1927</v>
      </c>
      <c r="C729" s="15">
        <v>0</v>
      </c>
      <c r="D729" s="8"/>
      <c r="E729" s="8"/>
    </row>
    <row r="730" spans="1:5" ht="27.95" hidden="1" outlineLevel="1">
      <c r="A730" s="12"/>
      <c r="B730" s="16" t="s">
        <v>1928</v>
      </c>
      <c r="C730" s="15">
        <v>0</v>
      </c>
      <c r="D730" s="8"/>
      <c r="E730" s="8"/>
    </row>
    <row r="731" spans="1:5" ht="27.95" hidden="1" outlineLevel="1">
      <c r="A731" s="12"/>
      <c r="B731" s="16" t="s">
        <v>1929</v>
      </c>
      <c r="C731" s="15">
        <v>0</v>
      </c>
      <c r="D731" s="8"/>
      <c r="E731" s="8"/>
    </row>
    <row r="732" spans="1:5" ht="27.95" hidden="1" outlineLevel="1">
      <c r="A732" s="12"/>
      <c r="B732" s="16" t="s">
        <v>1930</v>
      </c>
      <c r="C732" s="15">
        <v>0</v>
      </c>
      <c r="D732" s="8"/>
      <c r="E732" s="8"/>
    </row>
    <row r="733" spans="1:5" hidden="1" outlineLevel="1">
      <c r="A733" s="12"/>
      <c r="B733" s="16" t="s">
        <v>1873</v>
      </c>
      <c r="C733" s="15">
        <v>0</v>
      </c>
      <c r="D733" s="8"/>
      <c r="E733" s="8"/>
    </row>
    <row r="734" spans="1:5" ht="27.95" hidden="1" outlineLevel="1">
      <c r="A734" s="12"/>
      <c r="B734" s="16" t="s">
        <v>1552</v>
      </c>
      <c r="C734" s="15">
        <v>0</v>
      </c>
      <c r="D734" s="8"/>
      <c r="E734" s="8"/>
    </row>
    <row r="735" spans="1:5" collapsed="1">
      <c r="A735" s="12"/>
      <c r="B735" s="13"/>
      <c r="C735" s="14">
        <f>SUM(C691:C710)</f>
        <v>5928475.9200000009</v>
      </c>
    </row>
    <row r="736" spans="1:5">
      <c r="A736" s="12"/>
      <c r="B736" s="9"/>
      <c r="C736" s="10"/>
    </row>
    <row r="737" spans="1:5">
      <c r="A737" s="12"/>
      <c r="B737" s="9"/>
      <c r="C737" s="10"/>
    </row>
    <row r="738" spans="1:5">
      <c r="A738" s="12"/>
      <c r="B738" s="9"/>
      <c r="C738" s="10"/>
    </row>
    <row r="739" spans="1:5">
      <c r="A739" s="12"/>
      <c r="B739" s="9"/>
      <c r="C739" s="10"/>
    </row>
    <row r="740" spans="1:5">
      <c r="A740" s="12"/>
      <c r="B740" s="9"/>
      <c r="C740" s="10"/>
    </row>
    <row r="741" spans="1:5" ht="27.95">
      <c r="A741" s="49" t="s">
        <v>11</v>
      </c>
      <c r="B741" s="9" t="s">
        <v>1069</v>
      </c>
      <c r="C741" s="10">
        <v>598060.13</v>
      </c>
      <c r="E741" s="50">
        <f>+C735+July!C994+August!C79</f>
        <v>148673288.97</v>
      </c>
    </row>
    <row r="742" spans="1:5" ht="27.95">
      <c r="A742" s="49"/>
      <c r="B742" s="9" t="s">
        <v>1931</v>
      </c>
      <c r="C742" s="10">
        <v>315437.78000000003</v>
      </c>
    </row>
    <row r="743" spans="1:5" ht="27.95">
      <c r="A743" s="49"/>
      <c r="B743" s="9" t="s">
        <v>1932</v>
      </c>
      <c r="C743" s="10">
        <v>297078.67</v>
      </c>
    </row>
    <row r="744" spans="1:5">
      <c r="A744" s="49"/>
      <c r="B744" s="9" t="s">
        <v>1066</v>
      </c>
      <c r="C744" s="10">
        <v>240031.88</v>
      </c>
    </row>
    <row r="745" spans="1:5">
      <c r="A745" s="49"/>
      <c r="B745" s="9" t="s">
        <v>1933</v>
      </c>
      <c r="C745" s="10">
        <v>183368.81</v>
      </c>
    </row>
    <row r="746" spans="1:5">
      <c r="A746" s="49"/>
      <c r="B746" s="9" t="s">
        <v>1187</v>
      </c>
      <c r="C746" s="10">
        <v>161764.62</v>
      </c>
    </row>
    <row r="747" spans="1:5">
      <c r="A747" s="49"/>
      <c r="B747" s="9" t="s">
        <v>1813</v>
      </c>
      <c r="C747" s="10">
        <v>118494.8</v>
      </c>
    </row>
    <row r="748" spans="1:5" ht="56.1">
      <c r="A748" s="49"/>
      <c r="B748" s="9" t="s">
        <v>1079</v>
      </c>
      <c r="C748" s="10">
        <v>110000</v>
      </c>
    </row>
    <row r="749" spans="1:5" ht="42">
      <c r="A749" s="49"/>
      <c r="B749" s="9" t="s">
        <v>1934</v>
      </c>
      <c r="C749" s="10">
        <v>109305.88</v>
      </c>
    </row>
    <row r="750" spans="1:5" ht="42">
      <c r="A750" s="49"/>
      <c r="B750" s="9" t="s">
        <v>1439</v>
      </c>
      <c r="C750" s="10">
        <v>88232.67</v>
      </c>
    </row>
    <row r="751" spans="1:5" ht="27.95">
      <c r="A751" s="49"/>
      <c r="B751" s="9" t="s">
        <v>1057</v>
      </c>
      <c r="C751" s="10">
        <v>74379.149999999994</v>
      </c>
    </row>
    <row r="752" spans="1:5" ht="27.95">
      <c r="A752" s="49"/>
      <c r="B752" s="9" t="s">
        <v>1084</v>
      </c>
      <c r="C752" s="10">
        <v>73221.19</v>
      </c>
    </row>
    <row r="753" spans="1:3">
      <c r="A753" s="49"/>
      <c r="B753" s="9" t="s">
        <v>1935</v>
      </c>
      <c r="C753" s="10">
        <v>72254.63</v>
      </c>
    </row>
    <row r="754" spans="1:3">
      <c r="A754" s="49"/>
      <c r="B754" s="9" t="s">
        <v>1087</v>
      </c>
      <c r="C754" s="10">
        <v>69657.56</v>
      </c>
    </row>
    <row r="755" spans="1:3" ht="27.95">
      <c r="A755" s="49"/>
      <c r="B755" s="9" t="s">
        <v>1809</v>
      </c>
      <c r="C755" s="10">
        <v>66735.06</v>
      </c>
    </row>
    <row r="756" spans="1:3">
      <c r="A756" s="49"/>
      <c r="B756" s="9" t="s">
        <v>1102</v>
      </c>
      <c r="C756" s="10">
        <v>65751.78</v>
      </c>
    </row>
    <row r="757" spans="1:3" ht="27.95">
      <c r="A757" s="49"/>
      <c r="B757" s="9" t="s">
        <v>1100</v>
      </c>
      <c r="C757" s="10">
        <v>64279.38</v>
      </c>
    </row>
    <row r="758" spans="1:3" ht="27.95">
      <c r="A758" s="49"/>
      <c r="B758" s="9" t="s">
        <v>1071</v>
      </c>
      <c r="C758" s="10">
        <v>60473.07</v>
      </c>
    </row>
    <row r="759" spans="1:3">
      <c r="A759" s="49"/>
      <c r="B759" s="9" t="s">
        <v>994</v>
      </c>
      <c r="C759" s="10">
        <v>46961.35</v>
      </c>
    </row>
    <row r="760" spans="1:3">
      <c r="A760" s="49"/>
      <c r="B760" s="9" t="s">
        <v>1106</v>
      </c>
      <c r="C760" s="10">
        <v>41313.06</v>
      </c>
    </row>
    <row r="761" spans="1:3" hidden="1" outlineLevel="1">
      <c r="A761" s="12"/>
      <c r="B761" s="9" t="s">
        <v>998</v>
      </c>
      <c r="C761" s="10">
        <v>40419.269999999997</v>
      </c>
    </row>
    <row r="762" spans="1:3" hidden="1" outlineLevel="1">
      <c r="A762" s="12"/>
      <c r="B762" s="9" t="s">
        <v>1936</v>
      </c>
      <c r="C762" s="10">
        <v>39212.6</v>
      </c>
    </row>
    <row r="763" spans="1:3" hidden="1" outlineLevel="1">
      <c r="A763" s="12"/>
      <c r="B763" s="9" t="s">
        <v>1092</v>
      </c>
      <c r="C763" s="10">
        <v>31986.57</v>
      </c>
    </row>
    <row r="764" spans="1:3" ht="27.95" hidden="1" outlineLevel="1">
      <c r="A764" s="12"/>
      <c r="B764" s="9" t="s">
        <v>1937</v>
      </c>
      <c r="C764" s="10">
        <v>31724.98</v>
      </c>
    </row>
    <row r="765" spans="1:3" hidden="1" outlineLevel="1">
      <c r="A765" s="12"/>
      <c r="B765" s="9" t="s">
        <v>1101</v>
      </c>
      <c r="C765" s="10">
        <v>31017.87</v>
      </c>
    </row>
    <row r="766" spans="1:3" ht="27.95" hidden="1" outlineLevel="1">
      <c r="A766" s="12"/>
      <c r="B766" s="9" t="s">
        <v>1883</v>
      </c>
      <c r="C766" s="10">
        <v>30692.7</v>
      </c>
    </row>
    <row r="767" spans="1:3" hidden="1" outlineLevel="1">
      <c r="A767" s="12"/>
      <c r="B767" s="9" t="s">
        <v>1667</v>
      </c>
      <c r="C767" s="10">
        <v>28724.63</v>
      </c>
    </row>
    <row r="768" spans="1:3" ht="27.95" hidden="1" outlineLevel="1">
      <c r="A768" s="12"/>
      <c r="B768" s="9" t="s">
        <v>1042</v>
      </c>
      <c r="C768" s="10">
        <v>22637.369999999992</v>
      </c>
    </row>
    <row r="769" spans="1:3" ht="27.95" hidden="1" outlineLevel="1">
      <c r="A769" s="12"/>
      <c r="B769" s="9" t="s">
        <v>1085</v>
      </c>
      <c r="C769" s="10">
        <v>18030.93</v>
      </c>
    </row>
    <row r="770" spans="1:3" ht="27.95" hidden="1" outlineLevel="1">
      <c r="A770" s="12"/>
      <c r="B770" s="9" t="s">
        <v>1112</v>
      </c>
      <c r="C770" s="10">
        <v>16645.28</v>
      </c>
    </row>
    <row r="771" spans="1:3" hidden="1" outlineLevel="1">
      <c r="A771" s="12"/>
      <c r="B771" s="9" t="s">
        <v>1295</v>
      </c>
      <c r="C771" s="10">
        <v>15388.95</v>
      </c>
    </row>
    <row r="772" spans="1:3" hidden="1" outlineLevel="1">
      <c r="A772" s="12"/>
      <c r="B772" s="9" t="s">
        <v>1938</v>
      </c>
      <c r="C772" s="10">
        <v>15000</v>
      </c>
    </row>
    <row r="773" spans="1:3" ht="27.95" hidden="1" outlineLevel="1">
      <c r="A773" s="12"/>
      <c r="B773" s="9" t="s">
        <v>1134</v>
      </c>
      <c r="C773" s="10">
        <v>11165.25</v>
      </c>
    </row>
    <row r="774" spans="1:3" hidden="1" outlineLevel="1">
      <c r="A774" s="12"/>
      <c r="B774" s="9" t="s">
        <v>1815</v>
      </c>
      <c r="C774" s="10">
        <v>10750.18</v>
      </c>
    </row>
    <row r="775" spans="1:3" hidden="1" outlineLevel="1">
      <c r="A775" s="12"/>
      <c r="B775" s="9" t="s">
        <v>1107</v>
      </c>
      <c r="C775" s="10">
        <v>10286.23</v>
      </c>
    </row>
    <row r="776" spans="1:3" hidden="1" outlineLevel="1">
      <c r="A776" s="12"/>
      <c r="B776" s="9" t="s">
        <v>1495</v>
      </c>
      <c r="C776" s="10">
        <v>9741.93</v>
      </c>
    </row>
    <row r="777" spans="1:3" hidden="1" outlineLevel="1">
      <c r="A777" s="12"/>
      <c r="B777" s="9" t="s">
        <v>1126</v>
      </c>
      <c r="C777" s="10">
        <v>9315.7800000000007</v>
      </c>
    </row>
    <row r="778" spans="1:3" ht="27.95" hidden="1" outlineLevel="1">
      <c r="A778" s="12"/>
      <c r="B778" s="9" t="s">
        <v>1123</v>
      </c>
      <c r="C778" s="10">
        <v>8718.43</v>
      </c>
    </row>
    <row r="779" spans="1:3" hidden="1" outlineLevel="1">
      <c r="A779" s="12"/>
      <c r="B779" s="9" t="s">
        <v>1093</v>
      </c>
      <c r="C779" s="10">
        <v>7972</v>
      </c>
    </row>
    <row r="780" spans="1:3" ht="27.95" hidden="1" outlineLevel="1">
      <c r="A780" s="12"/>
      <c r="B780" s="9" t="s">
        <v>1939</v>
      </c>
      <c r="C780" s="10">
        <v>7855.5300000000007</v>
      </c>
    </row>
    <row r="781" spans="1:3" ht="27.95" hidden="1" outlineLevel="1">
      <c r="A781" s="12"/>
      <c r="B781" s="9" t="s">
        <v>1940</v>
      </c>
      <c r="C781" s="10">
        <v>7701.23</v>
      </c>
    </row>
    <row r="782" spans="1:3" hidden="1" outlineLevel="1">
      <c r="A782" s="12"/>
      <c r="B782" s="9" t="s">
        <v>1941</v>
      </c>
      <c r="C782" s="10">
        <v>7000</v>
      </c>
    </row>
    <row r="783" spans="1:3" hidden="1" outlineLevel="1">
      <c r="A783" s="12"/>
      <c r="B783" s="9" t="s">
        <v>1942</v>
      </c>
      <c r="C783" s="10">
        <v>5982.86</v>
      </c>
    </row>
    <row r="784" spans="1:3" hidden="1" outlineLevel="1">
      <c r="A784" s="12"/>
      <c r="B784" s="9" t="s">
        <v>1943</v>
      </c>
      <c r="C784" s="10">
        <v>5942.86</v>
      </c>
    </row>
    <row r="785" spans="1:3" hidden="1" outlineLevel="1">
      <c r="A785" s="12"/>
      <c r="B785" s="9" t="s">
        <v>1275</v>
      </c>
      <c r="C785" s="10">
        <v>5726.96</v>
      </c>
    </row>
    <row r="786" spans="1:3" ht="27.95" hidden="1" outlineLevel="1">
      <c r="A786" s="12"/>
      <c r="B786" s="9" t="s">
        <v>1944</v>
      </c>
      <c r="C786" s="10">
        <v>5559.27</v>
      </c>
    </row>
    <row r="787" spans="1:3" ht="27.95" hidden="1" outlineLevel="1">
      <c r="A787" s="12"/>
      <c r="B787" s="9" t="s">
        <v>1118</v>
      </c>
      <c r="C787" s="10">
        <v>5322.32</v>
      </c>
    </row>
    <row r="788" spans="1:3" hidden="1" outlineLevel="1">
      <c r="A788" s="12"/>
      <c r="B788" s="9" t="s">
        <v>1945</v>
      </c>
      <c r="C788" s="10">
        <v>5303.51</v>
      </c>
    </row>
    <row r="789" spans="1:3" hidden="1" outlineLevel="1">
      <c r="A789" s="12"/>
      <c r="B789" s="9" t="s">
        <v>996</v>
      </c>
      <c r="C789" s="10">
        <v>5022.45</v>
      </c>
    </row>
    <row r="790" spans="1:3" ht="27.95" hidden="1" outlineLevel="1">
      <c r="A790" s="12"/>
      <c r="B790" s="9" t="s">
        <v>1946</v>
      </c>
      <c r="C790" s="10">
        <v>5000</v>
      </c>
    </row>
    <row r="791" spans="1:3" hidden="1" outlineLevel="1">
      <c r="A791" s="12"/>
      <c r="B791" s="9" t="s">
        <v>1025</v>
      </c>
      <c r="C791" s="10">
        <v>4961.63</v>
      </c>
    </row>
    <row r="792" spans="1:3" hidden="1" outlineLevel="1">
      <c r="A792" s="12"/>
      <c r="B792" s="9" t="s">
        <v>1947</v>
      </c>
      <c r="C792" s="10">
        <v>4467.03</v>
      </c>
    </row>
    <row r="793" spans="1:3" hidden="1" outlineLevel="1">
      <c r="A793" s="12"/>
      <c r="B793" s="9" t="s">
        <v>1125</v>
      </c>
      <c r="C793" s="10">
        <v>4333.33</v>
      </c>
    </row>
    <row r="794" spans="1:3" ht="27.95" hidden="1" outlineLevel="1">
      <c r="A794" s="12"/>
      <c r="B794" s="9" t="s">
        <v>1948</v>
      </c>
      <c r="C794" s="10">
        <v>4180.1099999999997</v>
      </c>
    </row>
    <row r="795" spans="1:3" hidden="1" outlineLevel="1">
      <c r="A795" s="12"/>
      <c r="B795" s="9" t="s">
        <v>910</v>
      </c>
      <c r="C795" s="10">
        <v>4051.23</v>
      </c>
    </row>
    <row r="796" spans="1:3" hidden="1" outlineLevel="1">
      <c r="A796" s="12"/>
      <c r="B796" s="9" t="s">
        <v>1949</v>
      </c>
      <c r="C796" s="10">
        <v>3849.44</v>
      </c>
    </row>
    <row r="797" spans="1:3" ht="27.95" hidden="1" outlineLevel="1">
      <c r="A797" s="12"/>
      <c r="B797" s="9" t="s">
        <v>1117</v>
      </c>
      <c r="C797" s="10">
        <v>3800</v>
      </c>
    </row>
    <row r="798" spans="1:3" hidden="1" outlineLevel="1">
      <c r="A798" s="12"/>
      <c r="B798" s="9" t="s">
        <v>1647</v>
      </c>
      <c r="C798" s="10">
        <v>3700.08</v>
      </c>
    </row>
    <row r="799" spans="1:3" ht="27.95" hidden="1" outlineLevel="1">
      <c r="A799" s="12"/>
      <c r="B799" s="9" t="s">
        <v>1950</v>
      </c>
      <c r="C799" s="10">
        <v>3691.72</v>
      </c>
    </row>
    <row r="800" spans="1:3" ht="27.95" hidden="1" outlineLevel="1">
      <c r="A800" s="12"/>
      <c r="B800" s="9" t="s">
        <v>1135</v>
      </c>
      <c r="C800" s="10">
        <v>3434.73</v>
      </c>
    </row>
    <row r="801" spans="1:3" ht="27.95" hidden="1" outlineLevel="1">
      <c r="A801" s="12"/>
      <c r="B801" s="9" t="s">
        <v>1951</v>
      </c>
      <c r="C801" s="10">
        <v>3388.92</v>
      </c>
    </row>
    <row r="802" spans="1:3" ht="27.95" hidden="1" outlineLevel="1">
      <c r="A802" s="12"/>
      <c r="B802" s="9" t="s">
        <v>1389</v>
      </c>
      <c r="C802" s="10">
        <v>2871</v>
      </c>
    </row>
    <row r="803" spans="1:3" hidden="1" outlineLevel="1">
      <c r="A803" s="12"/>
      <c r="B803" s="9" t="s">
        <v>1152</v>
      </c>
      <c r="C803" s="10">
        <v>2828.04</v>
      </c>
    </row>
    <row r="804" spans="1:3" hidden="1" outlineLevel="1">
      <c r="A804" s="12"/>
      <c r="B804" s="9" t="s">
        <v>1120</v>
      </c>
      <c r="C804" s="10">
        <v>2766.5</v>
      </c>
    </row>
    <row r="805" spans="1:3" hidden="1" outlineLevel="1">
      <c r="A805" s="12"/>
      <c r="B805" s="9" t="s">
        <v>1952</v>
      </c>
      <c r="C805" s="10">
        <v>2677.02</v>
      </c>
    </row>
    <row r="806" spans="1:3" hidden="1" outlineLevel="1">
      <c r="A806" s="12"/>
      <c r="B806" s="9" t="s">
        <v>1953</v>
      </c>
      <c r="C806" s="10">
        <v>2500</v>
      </c>
    </row>
    <row r="807" spans="1:3" hidden="1" outlineLevel="1">
      <c r="A807" s="12"/>
      <c r="B807" s="9" t="s">
        <v>1954</v>
      </c>
      <c r="C807" s="10">
        <v>2480</v>
      </c>
    </row>
    <row r="808" spans="1:3" hidden="1" outlineLevel="1">
      <c r="A808" s="12"/>
      <c r="B808" s="9" t="s">
        <v>1955</v>
      </c>
      <c r="C808" s="10">
        <v>2000</v>
      </c>
    </row>
    <row r="809" spans="1:3" hidden="1" outlineLevel="1">
      <c r="A809" s="12"/>
      <c r="B809" s="9" t="s">
        <v>1956</v>
      </c>
      <c r="C809" s="10">
        <v>1927.42</v>
      </c>
    </row>
    <row r="810" spans="1:3" hidden="1" outlineLevel="1">
      <c r="A810" s="12"/>
      <c r="B810" s="9" t="s">
        <v>1889</v>
      </c>
      <c r="C810" s="10">
        <v>1666.66</v>
      </c>
    </row>
    <row r="811" spans="1:3" hidden="1" outlineLevel="1">
      <c r="A811" s="12"/>
      <c r="B811" s="9" t="s">
        <v>1153</v>
      </c>
      <c r="C811" s="10">
        <v>1516.98</v>
      </c>
    </row>
    <row r="812" spans="1:3" hidden="1" outlineLevel="1">
      <c r="A812" s="12"/>
      <c r="B812" s="9" t="s">
        <v>1155</v>
      </c>
      <c r="C812" s="10">
        <v>1411.66</v>
      </c>
    </row>
    <row r="813" spans="1:3" hidden="1" outlineLevel="1">
      <c r="A813" s="12"/>
      <c r="B813" s="9" t="s">
        <v>1127</v>
      </c>
      <c r="C813" s="10">
        <v>1382.49</v>
      </c>
    </row>
    <row r="814" spans="1:3" hidden="1" outlineLevel="1">
      <c r="A814" s="12"/>
      <c r="B814" s="9" t="s">
        <v>1957</v>
      </c>
      <c r="C814" s="10">
        <v>1350</v>
      </c>
    </row>
    <row r="815" spans="1:3" ht="27.95" hidden="1" outlineLevel="1">
      <c r="A815" s="12"/>
      <c r="B815" s="9" t="s">
        <v>1493</v>
      </c>
      <c r="C815" s="10">
        <v>1200</v>
      </c>
    </row>
    <row r="816" spans="1:3" hidden="1" outlineLevel="1">
      <c r="A816" s="12"/>
      <c r="B816" s="9" t="s">
        <v>1958</v>
      </c>
      <c r="C816" s="10">
        <v>1188.19</v>
      </c>
    </row>
    <row r="817" spans="1:3" hidden="1" outlineLevel="1">
      <c r="A817" s="12"/>
      <c r="B817" s="9" t="s">
        <v>1488</v>
      </c>
      <c r="C817" s="10">
        <v>878.66</v>
      </c>
    </row>
    <row r="818" spans="1:3" hidden="1" outlineLevel="1">
      <c r="A818" s="12"/>
      <c r="B818" s="9" t="s">
        <v>1151</v>
      </c>
      <c r="C818" s="10">
        <v>800</v>
      </c>
    </row>
    <row r="819" spans="1:3" hidden="1" outlineLevel="1">
      <c r="A819" s="12"/>
      <c r="B819" s="9" t="s">
        <v>1959</v>
      </c>
      <c r="C819" s="10">
        <v>774.22</v>
      </c>
    </row>
    <row r="820" spans="1:3" hidden="1" outlineLevel="1">
      <c r="A820" s="12"/>
      <c r="B820" s="9" t="s">
        <v>1326</v>
      </c>
      <c r="C820" s="10">
        <v>758.3</v>
      </c>
    </row>
    <row r="821" spans="1:3" hidden="1" outlineLevel="1">
      <c r="A821" s="12"/>
      <c r="B821" s="9" t="s">
        <v>930</v>
      </c>
      <c r="C821" s="10">
        <v>728.19</v>
      </c>
    </row>
    <row r="822" spans="1:3" hidden="1" outlineLevel="1">
      <c r="A822" s="12"/>
      <c r="B822" s="9" t="s">
        <v>1960</v>
      </c>
      <c r="C822" s="10">
        <v>669.21</v>
      </c>
    </row>
    <row r="823" spans="1:3" hidden="1" outlineLevel="1">
      <c r="A823" s="12"/>
      <c r="B823" s="9" t="s">
        <v>1961</v>
      </c>
      <c r="C823" s="10">
        <v>643.86</v>
      </c>
    </row>
    <row r="824" spans="1:3" hidden="1" outlineLevel="1">
      <c r="A824" s="12"/>
      <c r="B824" s="9" t="s">
        <v>1164</v>
      </c>
      <c r="C824" s="10">
        <v>534.1</v>
      </c>
    </row>
    <row r="825" spans="1:3" hidden="1" outlineLevel="1">
      <c r="A825" s="12"/>
      <c r="B825" s="9" t="s">
        <v>1156</v>
      </c>
      <c r="C825" s="10">
        <v>461.68</v>
      </c>
    </row>
    <row r="826" spans="1:3" hidden="1" outlineLevel="1">
      <c r="A826" s="12"/>
      <c r="B826" s="9" t="s">
        <v>1224</v>
      </c>
      <c r="C826" s="10">
        <v>408.45</v>
      </c>
    </row>
    <row r="827" spans="1:3" hidden="1" outlineLevel="1">
      <c r="A827" s="12"/>
      <c r="B827" s="9" t="s">
        <v>1962</v>
      </c>
      <c r="C827" s="10">
        <v>396.2</v>
      </c>
    </row>
    <row r="828" spans="1:3" ht="27.95" hidden="1" outlineLevel="1">
      <c r="A828" s="12"/>
      <c r="B828" s="9" t="s">
        <v>1963</v>
      </c>
      <c r="C828" s="10">
        <v>378.8</v>
      </c>
    </row>
    <row r="829" spans="1:3" hidden="1" outlineLevel="1">
      <c r="A829" s="12"/>
      <c r="B829" s="9" t="s">
        <v>1964</v>
      </c>
      <c r="C829" s="10">
        <v>274.98</v>
      </c>
    </row>
    <row r="830" spans="1:3" ht="27.95" hidden="1" outlineLevel="1">
      <c r="A830" s="12"/>
      <c r="B830" s="9" t="s">
        <v>1965</v>
      </c>
      <c r="C830" s="10">
        <v>222.42</v>
      </c>
    </row>
    <row r="831" spans="1:3" ht="27.95" hidden="1" outlineLevel="1">
      <c r="A831" s="12"/>
      <c r="B831" s="9" t="s">
        <v>1966</v>
      </c>
      <c r="C831" s="10">
        <v>0</v>
      </c>
    </row>
    <row r="832" spans="1:3" ht="27.95" hidden="1" outlineLevel="1">
      <c r="A832" s="12"/>
      <c r="B832" s="9" t="s">
        <v>1967</v>
      </c>
      <c r="C832" s="10">
        <v>0</v>
      </c>
    </row>
    <row r="833" spans="1:3" hidden="1" outlineLevel="1">
      <c r="A833" s="12"/>
      <c r="B833" s="9" t="s">
        <v>1968</v>
      </c>
      <c r="C833" s="10">
        <v>0</v>
      </c>
    </row>
    <row r="834" spans="1:3" hidden="1" outlineLevel="1">
      <c r="A834" s="12"/>
      <c r="B834" s="9" t="s">
        <v>918</v>
      </c>
      <c r="C834" s="10">
        <v>0</v>
      </c>
    </row>
    <row r="835" spans="1:3" ht="27.95" hidden="1" outlineLevel="1">
      <c r="A835" s="12"/>
      <c r="B835" s="9" t="s">
        <v>1969</v>
      </c>
      <c r="C835" s="10">
        <v>0</v>
      </c>
    </row>
    <row r="836" spans="1:3" hidden="1" outlineLevel="1">
      <c r="A836" s="12"/>
      <c r="B836" s="9" t="s">
        <v>1970</v>
      </c>
      <c r="C836" s="10">
        <v>0</v>
      </c>
    </row>
    <row r="837" spans="1:3" outlineLevel="1">
      <c r="A837" s="12"/>
      <c r="B837" s="13"/>
      <c r="C837" s="14">
        <f>SUM(C741:C760)</f>
        <v>2856801.4699999997</v>
      </c>
    </row>
    <row r="838" spans="1:3">
      <c r="A838" s="12"/>
      <c r="B838" s="9"/>
      <c r="C838" s="10"/>
    </row>
    <row r="839" spans="1:3" ht="27.95">
      <c r="A839" s="49" t="s">
        <v>15</v>
      </c>
      <c r="B839" s="9" t="s">
        <v>1971</v>
      </c>
      <c r="C839" s="10">
        <v>2567376</v>
      </c>
    </row>
    <row r="840" spans="1:3">
      <c r="A840" s="49"/>
      <c r="B840" s="9" t="s">
        <v>1262</v>
      </c>
      <c r="C840" s="10">
        <v>86251.77</v>
      </c>
    </row>
    <row r="841" spans="1:3">
      <c r="A841" s="49"/>
      <c r="B841" s="9" t="s">
        <v>1269</v>
      </c>
      <c r="C841" s="10">
        <v>24828.27</v>
      </c>
    </row>
    <row r="842" spans="1:3" ht="27.95">
      <c r="A842" s="49"/>
      <c r="B842" s="9" t="s">
        <v>1714</v>
      </c>
      <c r="C842" s="10">
        <v>24000</v>
      </c>
    </row>
    <row r="843" spans="1:3">
      <c r="A843" s="49"/>
      <c r="B843" s="9" t="s">
        <v>1972</v>
      </c>
      <c r="C843" s="10">
        <v>3500</v>
      </c>
    </row>
    <row r="844" spans="1:3">
      <c r="A844" s="49"/>
      <c r="B844" s="9" t="s">
        <v>917</v>
      </c>
      <c r="C844" s="10">
        <v>1856.61</v>
      </c>
    </row>
    <row r="845" spans="1:3">
      <c r="A845" s="49"/>
      <c r="B845" s="9" t="s">
        <v>921</v>
      </c>
      <c r="C845" s="10">
        <v>741.53</v>
      </c>
    </row>
    <row r="846" spans="1:3">
      <c r="A846" s="49"/>
      <c r="B846" s="9" t="s">
        <v>930</v>
      </c>
      <c r="C846" s="10">
        <v>728.19</v>
      </c>
    </row>
    <row r="847" spans="1:3">
      <c r="A847" s="49"/>
      <c r="B847" s="9" t="s">
        <v>1315</v>
      </c>
      <c r="C847" s="10">
        <v>619.41999999999996</v>
      </c>
    </row>
    <row r="848" spans="1:3">
      <c r="A848" s="49"/>
      <c r="B848" s="9" t="s">
        <v>1973</v>
      </c>
      <c r="C848" s="10">
        <v>408.45</v>
      </c>
    </row>
    <row r="849" spans="1:3">
      <c r="A849" s="49"/>
      <c r="B849" s="9" t="s">
        <v>1974</v>
      </c>
      <c r="C849" s="10">
        <v>402.86</v>
      </c>
    </row>
    <row r="850" spans="1:3">
      <c r="A850" s="49"/>
      <c r="B850" s="9" t="s">
        <v>1648</v>
      </c>
      <c r="C850" s="10">
        <v>200</v>
      </c>
    </row>
    <row r="851" spans="1:3">
      <c r="A851" s="12"/>
      <c r="B851" s="13"/>
      <c r="C851" s="14">
        <f>SUM(C839:C850)</f>
        <v>2710913.0999999996</v>
      </c>
    </row>
    <row r="852" spans="1:3">
      <c r="A852" s="12"/>
      <c r="B852" s="9"/>
      <c r="C852" s="10"/>
    </row>
    <row r="853" spans="1:3">
      <c r="A853" s="12"/>
      <c r="B853" s="9"/>
      <c r="C853" s="10"/>
    </row>
    <row r="854" spans="1:3" ht="27.95">
      <c r="A854" s="49" t="s">
        <v>16</v>
      </c>
      <c r="B854" s="9" t="s">
        <v>1074</v>
      </c>
      <c r="C854" s="10">
        <v>105420.11</v>
      </c>
    </row>
    <row r="855" spans="1:3">
      <c r="A855" s="49"/>
      <c r="B855" s="9" t="s">
        <v>1470</v>
      </c>
      <c r="C855" s="10">
        <v>30980.440000000002</v>
      </c>
    </row>
    <row r="856" spans="1:3">
      <c r="A856" s="49"/>
      <c r="B856" s="9" t="s">
        <v>1623</v>
      </c>
      <c r="C856" s="10">
        <v>30526.58</v>
      </c>
    </row>
    <row r="857" spans="1:3">
      <c r="A857" s="49"/>
      <c r="B857" s="9" t="s">
        <v>1647</v>
      </c>
      <c r="C857" s="10">
        <v>24050.559999999998</v>
      </c>
    </row>
    <row r="858" spans="1:3">
      <c r="A858" s="49"/>
      <c r="B858" s="9" t="s">
        <v>910</v>
      </c>
      <c r="C858" s="10">
        <v>17217.09</v>
      </c>
    </row>
    <row r="859" spans="1:3">
      <c r="A859" s="49"/>
      <c r="B859" s="9" t="s">
        <v>899</v>
      </c>
      <c r="C859" s="10">
        <v>8400</v>
      </c>
    </row>
    <row r="860" spans="1:3">
      <c r="A860" s="49"/>
      <c r="B860" s="9" t="s">
        <v>925</v>
      </c>
      <c r="C860" s="10">
        <v>2304.94</v>
      </c>
    </row>
    <row r="861" spans="1:3">
      <c r="A861" s="49"/>
      <c r="B861" s="9" t="s">
        <v>1316</v>
      </c>
      <c r="C861" s="10">
        <v>1855.75</v>
      </c>
    </row>
    <row r="862" spans="1:3">
      <c r="A862" s="49"/>
      <c r="B862" s="9" t="s">
        <v>918</v>
      </c>
      <c r="C862" s="10">
        <v>615.01</v>
      </c>
    </row>
    <row r="863" spans="1:3">
      <c r="A863" s="49"/>
      <c r="B863" s="9" t="s">
        <v>1844</v>
      </c>
      <c r="C863" s="10">
        <v>0</v>
      </c>
    </row>
    <row r="864" spans="1:3">
      <c r="A864" s="12"/>
      <c r="B864" s="13"/>
      <c r="C864" s="14">
        <f>SUM(C854:C863)</f>
        <v>221370.48</v>
      </c>
    </row>
    <row r="865" spans="1:3">
      <c r="A865" s="12"/>
      <c r="B865" s="9"/>
      <c r="C865" s="10"/>
    </row>
    <row r="866" spans="1:3">
      <c r="A866" s="12"/>
      <c r="B866" s="9"/>
      <c r="C866" s="10"/>
    </row>
    <row r="867" spans="1:3" ht="14.45" customHeight="1">
      <c r="A867" s="48" t="s">
        <v>17</v>
      </c>
      <c r="B867" s="9" t="s">
        <v>910</v>
      </c>
      <c r="C867" s="10">
        <v>16436.86</v>
      </c>
    </row>
    <row r="868" spans="1:3">
      <c r="A868" s="48"/>
      <c r="B868" s="9" t="s">
        <v>925</v>
      </c>
      <c r="C868" s="10">
        <v>3966.88</v>
      </c>
    </row>
    <row r="869" spans="1:3">
      <c r="A869" s="48"/>
      <c r="B869" s="9" t="s">
        <v>1647</v>
      </c>
      <c r="C869" s="10">
        <v>7400.17</v>
      </c>
    </row>
    <row r="870" spans="1:3">
      <c r="A870" s="48"/>
      <c r="B870" s="9" t="s">
        <v>1323</v>
      </c>
      <c r="C870" s="10">
        <v>853.61</v>
      </c>
    </row>
    <row r="871" spans="1:3">
      <c r="B871" s="6"/>
      <c r="C871" s="7">
        <f>SUM(C867:C870)</f>
        <v>28657.520000000004</v>
      </c>
    </row>
  </sheetData>
  <sortState xmlns:xlrd2="http://schemas.microsoft.com/office/spreadsheetml/2017/richdata2" ref="A854:C863">
    <sortCondition descending="1" ref="C854:C863"/>
  </sortState>
  <mergeCells count="12">
    <mergeCell ref="A867:A870"/>
    <mergeCell ref="A5:A24"/>
    <mergeCell ref="A133:A152"/>
    <mergeCell ref="A196:A215"/>
    <mergeCell ref="A325:A344"/>
    <mergeCell ref="A391:A410"/>
    <mergeCell ref="A522:A541"/>
    <mergeCell ref="A593:A612"/>
    <mergeCell ref="A691:A710"/>
    <mergeCell ref="A741:A760"/>
    <mergeCell ref="A839:A850"/>
    <mergeCell ref="A854:A8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Ops.excellence2</dc:creator>
  <cp:keywords/>
  <dc:description/>
  <cp:lastModifiedBy>alfa daniel</cp:lastModifiedBy>
  <cp:revision/>
  <dcterms:created xsi:type="dcterms:W3CDTF">2025-10-02T15:40:38Z</dcterms:created>
  <dcterms:modified xsi:type="dcterms:W3CDTF">2025-10-05T16:15:45Z</dcterms:modified>
  <cp:category/>
  <cp:contentStatus/>
</cp:coreProperties>
</file>